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6b8ef87b4643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b7357a718d054d63"/>
    <x:sheet xmlns:r="http://schemas.openxmlformats.org/officeDocument/2006/relationships" name="Vorgänge" sheetId="2" r:id="Rac51d3f9fd4a4211"/>
    <x:sheet xmlns:r="http://schemas.openxmlformats.org/officeDocument/2006/relationships" name="Positionen" sheetId="3" r:id="Rb0275b6f2083448e"/>
    <x:sheet xmlns:r="http://schemas.openxmlformats.org/officeDocument/2006/relationships" name="Zahlungen" sheetId="4" r:id="Rc1755028eb7644e2"/>
    <x:sheet xmlns:r="http://schemas.openxmlformats.org/officeDocument/2006/relationships" name="Salden" sheetId="5" r:id="Rc0d04a29923c4f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 [$€-de-DE]"/>
    <x:numFmt numFmtId="201" formatCode="0%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DCEAE5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5afb5e74634fc4" /><Relationship Type="http://schemas.openxmlformats.org/officeDocument/2006/relationships/theme" Target="/xl/theme/theme1.xml" Id="R32aefee1737a4b2b" /><Relationship Type="http://schemas.openxmlformats.org/officeDocument/2006/relationships/sharedStrings" Target="/xl/sharedStrings.xml" Id="R0993265260c24a1c" /><Relationship Type="http://schemas.openxmlformats.org/officeDocument/2006/relationships/worksheet" Target="/xl/worksheets/sheet1.xml" Id="Rb7357a718d054d63" /><Relationship Type="http://schemas.openxmlformats.org/officeDocument/2006/relationships/worksheet" Target="/xl/worksheets/sheet2.xml" Id="Rac51d3f9fd4a4211" /><Relationship Type="http://schemas.openxmlformats.org/officeDocument/2006/relationships/worksheet" Target="/xl/worksheets/sheet3.xml" Id="Rb0275b6f2083448e" /><Relationship Type="http://schemas.openxmlformats.org/officeDocument/2006/relationships/worksheet" Target="/xl/worksheets/sheet4.xml" Id="Rc1755028eb7644e2" /><Relationship Type="http://schemas.openxmlformats.org/officeDocument/2006/relationships/worksheet" Target="/xl/worksheets/sheet5.xml" Id="Rc0d04a29923c4f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4" t="str">
        <x:v>Urlaubskasse Woche 1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6" t="str">
        <x:v>Kennzahl</x:v>
      </x:c>
      <x:c r="B3" s="16" t="str">
        <x:v>Wert</x:v>
      </x:c>
      <x:c r="C3" s="15"/>
      <x:c r="D3" s="16" t="str">
        <x:v>Zahler</x:v>
      </x:c>
      <x:c r="E3" s="16" t="str">
        <x:v>Empfänger</x:v>
      </x:c>
      <x:c r="F3" s="16" t="str">
        <x:v>Betrag</x:v>
      </x:c>
    </x:row>
    <x:row r="4">
      <x:c r="A4" s="15" t="str">
        <x:v>Stand</x:v>
      </x:c>
      <x:c r="B4" s="15" t="str">
        <x:v>18.07.2026, 14:16</x:v>
      </x:c>
      <x:c r="C4" s="15"/>
      <x:c r="D4" s="15" t="str">
        <x:v>Onkel</x:v>
      </x:c>
      <x:c r="E4" s="15" t="str">
        <x:v>Simon</x:v>
      </x:c>
      <x:c r="F4" s="17" t="n">
        <x:v>34.62</x:v>
      </x:c>
    </x:row>
    <x:row r="5">
      <x:c r="A5" s="15" t="str">
        <x:v>Erfasste Vorgänge</x:v>
      </x:c>
      <x:c r="B5" s="15" t="n">
        <x:v>5</x:v>
      </x:c>
      <x:c r="C5" s="15"/>
      <x:c r="D5" s="15" t="str">
        <x:v>Tante</x:v>
      </x:c>
      <x:c r="E5" s="15" t="str">
        <x:v>Simon</x:v>
      </x:c>
      <x:c r="F5" s="17" t="n">
        <x:v>12.5</x:v>
      </x:c>
    </x:row>
    <x:row r="6">
      <x:c r="A6" s="15" t="str">
        <x:v>Urlaubsausgaben gesamt</x:v>
      </x:c>
      <x:c r="B6" s="17" t="n">
        <x:f>SUM('Vorgänge'!G2:G100)</x:f>
        <x:v>138.48</x:v>
      </x:c>
      <x:c r="C6" s="15"/>
      <x:c r="D6" s="15" t="str">
        <x:v>Tante</x:v>
      </x:c>
      <x:c r="E6" s="15" t="str">
        <x:v>Katrin</x:v>
      </x:c>
      <x:c r="F6" s="17" t="n">
        <x:v>22.12</x:v>
      </x:c>
    </x:row>
    <x:row r="7">
      <x:c r="A7" s="15" t="str">
        <x:v>Anteil je Simon/Katrin/Onkel/Tante</x:v>
      </x:c>
      <x:c r="B7" s="17" t="n">
        <x:f>B6*0.25</x:f>
        <x:v>34.62</x:v>
      </x:c>
      <x:c r="C7" s="15"/>
      <x:c r="D7" s="15"/>
      <x:c r="E7" s="15"/>
      <x:c r="F7" s="15"/>
    </x:row>
    <x:row r="8">
      <x:c r="A8" s="15"/>
      <x:c r="B8" s="15"/>
      <x:c r="C8" s="15"/>
      <x:c r="D8" s="15"/>
      <x:c r="E8" s="15"/>
      <x:c r="F8" s="15"/>
    </x:row>
    <x:row r="9">
      <x:c r="A9" s="15"/>
      <x:c r="B9" s="15"/>
      <x:c r="C9" s="15"/>
      <x:c r="D9" s="15"/>
      <x:c r="E9" s="15"/>
      <x:c r="F9" s="15"/>
    </x:row>
    <x:row r="10">
      <x:c r="A10" s="18" t="str">
        <x:v>Letzter Bon: BIO COMPANY Rathauscenter</x:v>
      </x:c>
      <x:c r="B10" s="18"/>
      <x:c r="C10" s="18"/>
      <x:c r="D10" s="18"/>
      <x:c r="E10" s="18"/>
      <x:c r="F10" s="18"/>
    </x:row>
    <x:row r="11">
      <x:c r="A11" s="15" t="str">
        <x:v>Kaufdatum</x:v>
      </x:c>
      <x:c r="B11" s="15" t="str">
        <x:v>17.07.2026, 09:48</x:v>
      </x:c>
      <x:c r="C11" s="15"/>
      <x:c r="D11" s="15"/>
      <x:c r="E11" s="15"/>
      <x:c r="F11" s="15"/>
    </x:row>
    <x:row r="12">
      <x:c r="A12" s="15" t="str">
        <x:v>Belegsumme</x:v>
      </x:c>
      <x:c r="B12" s="17" t="n">
        <x:v>73.41</x:v>
      </x:c>
      <x:c r="C12" s="15"/>
      <x:c r="D12" s="15"/>
      <x:c r="E12" s="15"/>
      <x:c r="F12" s="15"/>
    </x:row>
    <x:row r="13">
      <x:c r="A13" s="15" t="str">
        <x:v>Bon-Rabatt</x:v>
      </x:c>
      <x:c r="B13" s="17" t="n">
        <x:v>-7.44</x:v>
      </x:c>
      <x:c r="C13" s="15"/>
      <x:c r="D13" s="15"/>
      <x:c r="E13" s="15"/>
      <x:c r="F13" s="15"/>
    </x:row>
    <x:row r="14">
      <x:c r="A14" s="15" t="str">
        <x:v>Privat ausgeschlossen</x:v>
      </x:c>
      <x:c r="B14" s="17" t="n">
        <x:v>3.97</x:v>
      </x:c>
      <x:c r="C14" s="15"/>
      <x:c r="D14" s="15"/>
      <x:c r="E14" s="15"/>
      <x:c r="F14" s="15"/>
    </x:row>
    <x:row r="15">
      <x:c r="A15" s="15" t="str">
        <x:v>Urlaubsausgabe</x:v>
      </x:c>
      <x:c r="B15" s="17" t="n">
        <x:v>69.44</x:v>
      </x:c>
      <x:c r="C15" s="15"/>
      <x:c r="D15" s="15"/>
      <x:c r="E15" s="15"/>
      <x:c r="F15" s="15"/>
    </x:row>
    <x:row r="16">
      <x:c r="A16" s="15" t="str">
        <x:v>Zahlung</x:v>
      </x:c>
      <x:c r="B16" s="15" t="str">
        <x:v>Gemeinschaftskonto Katrin &amp; Simon</x:v>
      </x:c>
      <x:c r="C16" s="15"/>
      <x:c r="D16" s="15"/>
      <x:c r="E16" s="15"/>
      <x:c r="F16" s="15"/>
    </x:row>
    <x:row r="17">
      <x:c r="A17" s="15" t="str">
        <x:v>Privatpositionen</x:v>
      </x:c>
      <x:c r="B17" s="15" t="str">
        <x:v>Laugenbrezel, Saatenbrötchen, Dinkel-Früchtebrötchen</x:v>
      </x:c>
      <x:c r="C17" s="15"/>
      <x:c r="D17" s="15"/>
      <x:c r="E17" s="15"/>
      <x:c r="F17" s="15"/>
    </x:row>
    <x:row r="18">
      <x:c r="A18" s="15"/>
      <x:c r="B18" s="15"/>
      <x:c r="C18" s="15"/>
      <x:c r="D18" s="15"/>
      <x:c r="E18" s="15"/>
      <x:c r="F18" s="15"/>
    </x:row>
    <x:row r="19">
      <x:c r="A19" s="15"/>
      <x:c r="B19" s="15"/>
      <x:c r="C19" s="15"/>
      <x:c r="D19" s="15"/>
      <x:c r="E19" s="15"/>
      <x:c r="F19" s="15"/>
    </x:row>
    <x:row r="20">
      <x:c r="A20" s="15"/>
      <x:c r="B20" s="15"/>
      <x:c r="C20" s="15"/>
      <x:c r="D20" s="15"/>
      <x:c r="E20" s="15"/>
      <x:c r="F20" s="15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12" hidden="0" customWidth="1"/>
    <x:col min="3" max="3" width="19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32" hidden="0" customWidth="1"/>
    <x:col min="9" max="9" width="18" hidden="0" customWidth="1"/>
  </x:cols>
  <x:sheetData>
    <x:row r="1">
      <x:c r="A1" s="16" t="str">
        <x:v>Vorgang</x:v>
      </x:c>
      <x:c r="B1" s="16" t="str">
        <x:v>Typ</x:v>
      </x:c>
      <x:c r="C1" s="16" t="str">
        <x:v>Kaufdatum</x:v>
      </x:c>
      <x:c r="D1" s="16" t="str">
        <x:v>Händler</x:v>
      </x:c>
      <x:c r="E1" s="16" t="str">
        <x:v>Belegsumme</x:v>
      </x:c>
      <x:c r="F1" s="16" t="str">
        <x:v>Ausgeschlossen</x:v>
      </x:c>
      <x:c r="G1" s="16" t="str">
        <x:v>Urlaub</x:v>
      </x:c>
      <x:c r="H1" s="16" t="str">
        <x:v>Zahlungsquelle</x:v>
      </x:c>
      <x:c r="I1" s="16" t="str">
        <x:v>Status</x:v>
      </x:c>
    </x:row>
    <x:row r="2">
      <x:c r="A2" t="str">
        <x:v>BON-20260716-001</x:v>
      </x:c>
      <x:c r="B2" t="str">
        <x:v>Bon</x:v>
      </x:c>
      <x:c r="C2" t="str">
        <x:v>16.07.2026, 08:03</x:v>
      </x:c>
      <x:c r="D2" t="str">
        <x:v>Kaufland</x:v>
      </x:c>
      <x:c r="E2" s="8" t="n">
        <x:v>63.28</x:v>
      </x:c>
      <x:c r="F2" s="8" t="n">
        <x:v>28.45</x:v>
      </x:c>
      <x:c r="G2" s="8" t="n">
        <x:v>34.83</x:v>
      </x:c>
      <x:c r="H2" t="str">
        <x:v>Gemeinschaftskonto Katrin &amp; Simon</x:v>
      </x:c>
      <x:c r="I2" t="str">
        <x:v>corrected</x:v>
      </x:c>
    </x:row>
    <x:row r="3">
      <x:c r="A3" t="str">
        <x:v>BON-20260716-002</x:v>
      </x:c>
      <x:c r="B3" t="str">
        <x:v>Bon</x:v>
      </x:c>
      <x:c r="C3" t="str">
        <x:v>16.07.2026, 14:16</x:v>
      </x:c>
      <x:c r="D3" t="str">
        <x:v>BIO COMPANY via Wolt</x:v>
      </x:c>
      <x:c r="E3" s="8" t="n">
        <x:v>38.37</x:v>
      </x:c>
      <x:c r="F3" s="8" t="n">
        <x:v>25.55</x:v>
      </x:c>
      <x:c r="G3" s="8" t="n">
        <x:v>12.82</x:v>
      </x:c>
      <x:c r="H3" t="str">
        <x:v>Gemeinschaftskonto Katrin &amp; Simon</x:v>
      </x:c>
      <x:c r="I3" t="str">
        <x:v>active</x:v>
      </x:c>
    </x:row>
    <x:row r="4">
      <x:c r="A4" t="str">
        <x:v>GUT-20260716-001</x:v>
      </x:c>
      <x:c r="B4" t="str">
        <x:v>Gutschrift</x:v>
      </x:c>
      <x:c r="C4" t="str">
        <x:v>16.07.2026, 14:58</x:v>
      </x:c>
      <x:c r="D4" t="str">
        <x:v>Wolt / BIO COMPANY</x:v>
      </x:c>
      <x:c r="E4" s="8" t="n">
        <x:v>-3.61</x:v>
      </x:c>
      <x:c r="F4" s="8" t="n">
        <x:v>0</x:v>
      </x:c>
      <x:c r="G4" s="8" t="n">
        <x:v>-3.61</x:v>
      </x:c>
      <x:c r="H4" t="str">
        <x:v>Gemeinschaftskonto Katrin &amp; Simon</x:v>
      </x:c>
      <x:c r="I4" t="str">
        <x:v>active</x:v>
      </x:c>
    </x:row>
    <x:row r="5">
      <x:c r="A5" t="str">
        <x:v>BON-20260717-001</x:v>
      </x:c>
      <x:c r="B5" t="str">
        <x:v>Bon</x:v>
      </x:c>
      <x:c r="C5" t="str">
        <x:v>17.07.2026, 11:04</x:v>
      </x:c>
      <x:c r="D5" t="str">
        <x:v>Barracuda Fisch</x:v>
      </x:c>
      <x:c r="E5" s="8" t="n">
        <x:v>25</x:v>
      </x:c>
      <x:c r="F5" s="8" t="n">
        <x:v>0</x:v>
      </x:c>
      <x:c r="G5" s="8" t="n">
        <x:v>25</x:v>
      </x:c>
      <x:c r="H5" t="str">
        <x:v>Simon</x:v>
      </x:c>
      <x:c r="I5" t="str">
        <x:v>pending_receipt</x:v>
      </x:c>
    </x:row>
    <x:row r="6">
      <x:c r="A6" t="str">
        <x:v>BON-20260717-002</x:v>
      </x:c>
      <x:c r="B6" t="str">
        <x:v>Bon</x:v>
      </x:c>
      <x:c r="C6" t="str">
        <x:v>17.07.2026, 09:48</x:v>
      </x:c>
      <x:c r="D6" t="str">
        <x:v>BIO COMPANY Rathauscenter</x:v>
      </x:c>
      <x:c r="E6" s="8" t="n">
        <x:v>73.41</x:v>
      </x:c>
      <x:c r="F6" s="8" t="n">
        <x:v>3.97</x:v>
      </x:c>
      <x:c r="G6" s="8" t="n">
        <x:v>69.44</x:v>
      </x:c>
      <x:c r="H6" t="str">
        <x:v>Gemeinschaftskonto Katrin &amp; Simon</x:v>
      </x:c>
      <x:c r="I6" t="str">
        <x:v>active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8" hidden="0" customWidth="1"/>
    <x:col min="3" max="3" width="34" hidden="0" customWidth="1"/>
    <x:col min="4" max="4" width="10" hidden="0" customWidth="1"/>
    <x:col min="5" max="5" width="1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5" hidden="0" customWidth="1"/>
    <x:col min="11" max="11" width="15" hidden="0" customWidth="1"/>
    <x:col min="12" max="12" width="38" hidden="0" customWidth="1"/>
  </x:cols>
  <x:sheetData>
    <x:row r="1">
      <x:c r="A1" s="16" t="str">
        <x:v>Vorgang</x:v>
      </x:c>
      <x:c r="B1" s="16" t="str">
        <x:v>Pos.</x:v>
      </x:c>
      <x:c r="C1" s="16" t="str">
        <x:v>Artikel</x:v>
      </x:c>
      <x:c r="D1" s="16" t="str">
        <x:v>Menge</x:v>
      </x:c>
      <x:c r="E1" s="16" t="str">
        <x:v>Einheit</x:v>
      </x:c>
      <x:c r="F1" s="16" t="str">
        <x:v>Brutto</x:v>
      </x:c>
      <x:c r="G1" s="16" t="str">
        <x:v>Rabatt</x:v>
      </x:c>
      <x:c r="H1" s="16" t="str">
        <x:v>Netto</x:v>
      </x:c>
      <x:c r="I1" s="16" t="str">
        <x:v>Urlaub</x:v>
      </x:c>
      <x:c r="J1" s="16" t="str">
        <x:v>Ausgeschlossen</x:v>
      </x:c>
      <x:c r="K1" s="16" t="str">
        <x:v>Status</x:v>
      </x:c>
      <x:c r="L1" s="16" t="str">
        <x:v>Notiz</x:v>
      </x:c>
    </x:row>
    <x:row r="2">
      <x:c r="A2" t="str">
        <x:v>BON-20260716-001</x:v>
      </x:c>
      <x:c r="B2" t="n">
        <x:v>1</x:v>
      </x:c>
      <x:c r="C2" t="str">
        <x:v>KBio Naturjoghurt</x:v>
      </x:c>
      <x:c r="D2" t="n">
        <x:v>3</x:v>
      </x:c>
      <x:c r="E2" t="str">
        <x:v>Stk.</x:v>
      </x:c>
      <x:c r="F2" s="8" t="n">
        <x:v>5.97</x:v>
      </x:c>
      <x:c r="G2" s="8" t="n">
        <x:v>0</x:v>
      </x:c>
      <x:c r="H2" s="8" t="n">
        <x:v>5.97</x:v>
      </x:c>
      <x:c r="I2" s="8" t="n">
        <x:v>1.99</x:v>
      </x:c>
      <x:c r="J2" s="8" t="n">
        <x:v>3.98</x:v>
      </x:c>
      <x:c r="K2" t="str">
        <x:v>partial</x:v>
      </x:c>
      <x:c r="L2" t="str">
        <x:v>2 von 3 Stück ausgeschlossen</x:v>
      </x:c>
    </x:row>
    <x:row r="3">
      <x:c r="A3" t="str">
        <x:v>BON-20260716-001</x:v>
      </x:c>
      <x:c r="B3" t="n">
        <x:v>2</x:v>
      </x:c>
      <x:c r="C3" t="str">
        <x:v>KBio ESL-Milch 3,8 %</x:v>
      </x:c>
      <x:c r="D3" t="n">
        <x:v>2</x:v>
      </x:c>
      <x:c r="E3" t="str">
        <x:v>Stk.</x:v>
      </x:c>
      <x:c r="F3" s="8" t="n">
        <x:v>2.7</x:v>
      </x:c>
      <x:c r="G3" s="8" t="n">
        <x:v>-0.41</x:v>
      </x:c>
      <x:c r="H3" s="8" t="n">
        <x:v>2.29</x:v>
      </x:c>
      <x:c r="I3" s="8" t="n">
        <x:v>2.29</x:v>
      </x:c>
      <x:c r="J3" s="8" t="n">
        <x:v>0</x:v>
      </x:c>
      <x:c r="K3" t="str">
        <x:v>holiday</x:v>
      </x:c>
      <x:c r="L3" t="str"/>
    </x:row>
    <x:row r="4">
      <x:c r="A4" t="str">
        <x:v>BON-20260716-001</x:v>
      </x:c>
      <x:c r="B4" t="n">
        <x:v>3</x:v>
      </x:c>
      <x:c r="C4" t="str">
        <x:v>KBio Bio-Frischkäse</x:v>
      </x:c>
      <x:c r="D4" t="n">
        <x:v>2</x:v>
      </x:c>
      <x:c r="E4" t="str">
        <x:v>Stk.</x:v>
      </x:c>
      <x:c r="F4" s="8" t="n">
        <x:v>2.58</x:v>
      </x:c>
      <x:c r="G4" s="8" t="n">
        <x:v>-0.52</x:v>
      </x:c>
      <x:c r="H4" s="8" t="n">
        <x:v>2.06</x:v>
      </x:c>
      <x:c r="I4" s="8" t="n">
        <x:v>0</x:v>
      </x:c>
      <x:c r="J4" s="8" t="n">
        <x:v>2.06</x:v>
      </x:c>
      <x:c r="K4" t="str">
        <x:v>excluded</x:v>
      </x:c>
      <x:c r="L4" t="str"/>
    </x:row>
    <x:row r="5">
      <x:c r="A5" t="str">
        <x:v>BON-20260716-001</x:v>
      </x:c>
      <x:c r="B5" t="n">
        <x:v>4</x:v>
      </x:c>
      <x:c r="C5" t="str">
        <x:v>KBio Leinsamen ganz</x:v>
      </x:c>
      <x:c r="D5" t="n">
        <x:v>1</x:v>
      </x:c>
      <x:c r="E5" t="str">
        <x:v>Packung</x:v>
      </x:c>
      <x:c r="F5" s="8" t="n">
        <x:v>1.55</x:v>
      </x:c>
      <x:c r="G5" s="8" t="n">
        <x:v>0</x:v>
      </x:c>
      <x:c r="H5" s="8" t="n">
        <x:v>1.55</x:v>
      </x:c>
      <x:c r="I5" s="8" t="n">
        <x:v>0</x:v>
      </x:c>
      <x:c r="J5" s="8" t="n">
        <x:v>1.55</x:v>
      </x:c>
      <x:c r="K5" t="str">
        <x:v>excluded</x:v>
      </x:c>
      <x:c r="L5" t="str"/>
    </x:row>
    <x:row r="6">
      <x:c r="A6" t="str">
        <x:v>BON-20260716-001</x:v>
      </x:c>
      <x:c r="B6" t="n">
        <x:v>5</x:v>
      </x:c>
      <x:c r="C6" t="str">
        <x:v>Lindt Lindor Tafel</x:v>
      </x:c>
      <x:c r="D6" t="n">
        <x:v>1</x:v>
      </x:c>
      <x:c r="E6" t="str">
        <x:v>Stk.</x:v>
      </x:c>
      <x:c r="F6" s="8" t="n">
        <x:v>2.79</x:v>
      </x:c>
      <x:c r="G6" s="8" t="n">
        <x:v>0</x:v>
      </x:c>
      <x:c r="H6" s="8" t="n">
        <x:v>2.79</x:v>
      </x:c>
      <x:c r="I6" s="8" t="n">
        <x:v>2.79</x:v>
      </x:c>
      <x:c r="J6" s="8" t="n">
        <x:v>0</x:v>
      </x:c>
      <x:c r="K6" t="str">
        <x:v>holiday</x:v>
      </x:c>
      <x:c r="L6" t="str"/>
    </x:row>
    <x:row r="7">
      <x:c r="A7" t="str">
        <x:v>BON-20260716-001</x:v>
      </x:c>
      <x:c r="B7" t="n">
        <x:v>6</x:v>
      </x:c>
      <x:c r="C7" t="str">
        <x:v>KBio Bananen</x:v>
      </x:c>
      <x:c r="D7" t="n">
        <x:v>0.734</x:v>
      </x:c>
      <x:c r="E7" t="str">
        <x:v>kg</x:v>
      </x:c>
      <x:c r="F7" s="8" t="n">
        <x:v>1.46</x:v>
      </x:c>
      <x:c r="G7" s="8" t="n">
        <x:v>0</x:v>
      </x:c>
      <x:c r="H7" s="8" t="n">
        <x:v>1.46</x:v>
      </x:c>
      <x:c r="I7" s="8" t="n">
        <x:v>0</x:v>
      </x:c>
      <x:c r="J7" s="8" t="n">
        <x:v>1.46</x:v>
      </x:c>
      <x:c r="K7" t="str">
        <x:v>excluded</x:v>
      </x:c>
      <x:c r="L7" t="str"/>
    </x:row>
    <x:row r="8">
      <x:c r="A8" t="str">
        <x:v>BON-20260716-001</x:v>
      </x:c>
      <x:c r="B8" t="n">
        <x:v>7</x:v>
      </x:c>
      <x:c r="C8" t="str">
        <x:v>Katjes</x:v>
      </x:c>
      <x:c r="D8" t="n">
        <x:v>1</x:v>
      </x:c>
      <x:c r="E8" t="str">
        <x:v>Packung</x:v>
      </x:c>
      <x:c r="F8" s="8" t="n">
        <x:v>0.89</x:v>
      </x:c>
      <x:c r="G8" s="8" t="n">
        <x:v>0</x:v>
      </x:c>
      <x:c r="H8" s="8" t="n">
        <x:v>0.89</x:v>
      </x:c>
      <x:c r="I8" s="8" t="n">
        <x:v>0.89</x:v>
      </x:c>
      <x:c r="J8" s="8" t="n">
        <x:v>0</x:v>
      </x:c>
      <x:c r="K8" t="str">
        <x:v>holiday</x:v>
      </x:c>
      <x:c r="L8" t="str"/>
    </x:row>
    <x:row r="9">
      <x:c r="A9" t="str">
        <x:v>BON-20260716-001</x:v>
      </x:c>
      <x:c r="B9" t="n">
        <x:v>8</x:v>
      </x:c>
      <x:c r="C9" t="str">
        <x:v>KBio Bandnudeln 500 g</x:v>
      </x:c>
      <x:c r="D9" t="n">
        <x:v>2</x:v>
      </x:c>
      <x:c r="E9" t="str">
        <x:v>Packung</x:v>
      </x:c>
      <x:c r="F9" s="8" t="n">
        <x:v>2.9</x:v>
      </x:c>
      <x:c r="G9" s="8" t="n">
        <x:v>-0.58</x:v>
      </x:c>
      <x:c r="H9" s="8" t="n">
        <x:v>2.32</x:v>
      </x:c>
      <x:c r="I9" s="8" t="n">
        <x:v>2.32</x:v>
      </x:c>
      <x:c r="J9" s="8" t="n">
        <x:v>0</x:v>
      </x:c>
      <x:c r="K9" t="str">
        <x:v>holiday</x:v>
      </x:c>
      <x:c r="L9" t="str"/>
    </x:row>
    <x:row r="10">
      <x:c r="A10" t="str">
        <x:v>BON-20260716-001</x:v>
      </x:c>
      <x:c r="B10" t="n">
        <x:v>9</x:v>
      </x:c>
      <x:c r="C10" t="str">
        <x:v>KBio Äpfel rot 1 kg</x:v>
      </x:c>
      <x:c r="D10" t="n">
        <x:v>1</x:v>
      </x:c>
      <x:c r="E10" t="str">
        <x:v>Packung</x:v>
      </x:c>
      <x:c r="F10" s="8" t="n">
        <x:v>3.49</x:v>
      </x:c>
      <x:c r="G10" s="8" t="n">
        <x:v>0</x:v>
      </x:c>
      <x:c r="H10" s="8" t="n">
        <x:v>3.49</x:v>
      </x:c>
      <x:c r="I10" s="8" t="n">
        <x:v>3.49</x:v>
      </x:c>
      <x:c r="J10" s="8" t="n">
        <x:v>0</x:v>
      </x:c>
      <x:c r="K10" t="str">
        <x:v>holiday</x:v>
      </x:c>
      <x:c r="L10" t="str"/>
    </x:row>
    <x:row r="11">
      <x:c r="A11" t="str">
        <x:v>BON-20260716-001</x:v>
      </x:c>
      <x:c r="B11" t="n">
        <x:v>10</x:v>
      </x:c>
      <x:c r="C11" t="str">
        <x:v>KBio Feta</x:v>
      </x:c>
      <x:c r="D11" t="n">
        <x:v>2</x:v>
      </x:c>
      <x:c r="E11" t="str">
        <x:v>Packung</x:v>
      </x:c>
      <x:c r="F11" s="8" t="n">
        <x:v>4.3</x:v>
      </x:c>
      <x:c r="G11" s="8" t="n">
        <x:v>0</x:v>
      </x:c>
      <x:c r="H11" s="8" t="n">
        <x:v>4.3</x:v>
      </x:c>
      <x:c r="I11" s="8" t="n">
        <x:v>0</x:v>
      </x:c>
      <x:c r="J11" s="8" t="n">
        <x:v>4.3</x:v>
      </x:c>
      <x:c r="K11" t="str">
        <x:v>excluded</x:v>
      </x:c>
      <x:c r="L11" t="str">
        <x:v>Beide Packungen ausgeschlossen</x:v>
      </x:c>
    </x:row>
    <x:row r="12">
      <x:c r="A12" t="str">
        <x:v>BON-20260716-001</x:v>
      </x:c>
      <x:c r="B12" t="n">
        <x:v>11</x:v>
      </x:c>
      <x:c r="C12" t="str">
        <x:v>LM Penne Rigate</x:v>
      </x:c>
      <x:c r="D12" t="n">
        <x:v>1</x:v>
      </x:c>
      <x:c r="E12" t="str">
        <x:v>Packung</x:v>
      </x:c>
      <x:c r="F12" s="8" t="n">
        <x:v>1.99</x:v>
      </x:c>
      <x:c r="G12" s="8" t="n">
        <x:v>-0.8</x:v>
      </x:c>
      <x:c r="H12" s="8" t="n">
        <x:v>1.19</x:v>
      </x:c>
      <x:c r="I12" s="8" t="n">
        <x:v>0</x:v>
      </x:c>
      <x:c r="J12" s="8" t="n">
        <x:v>1.19</x:v>
      </x:c>
      <x:c r="K12" t="str">
        <x:v>excluded</x:v>
      </x:c>
      <x:c r="L12" t="str"/>
    </x:row>
    <x:row r="13">
      <x:c r="A13" t="str">
        <x:v>BON-20260716-001</x:v>
      </x:c>
      <x:c r="B13" t="n">
        <x:v>12</x:v>
      </x:c>
      <x:c r="C13" t="str">
        <x:v>LM Mezzi Rigatoni</x:v>
      </x:c>
      <x:c r="D13" t="n">
        <x:v>1</x:v>
      </x:c>
      <x:c r="E13" t="str">
        <x:v>Packung</x:v>
      </x:c>
      <x:c r="F13" s="8" t="n">
        <x:v>1.99</x:v>
      </x:c>
      <x:c r="G13" s="8" t="n">
        <x:v>-0.8</x:v>
      </x:c>
      <x:c r="H13" s="8" t="n">
        <x:v>1.19</x:v>
      </x:c>
      <x:c r="I13" s="8" t="n">
        <x:v>0</x:v>
      </x:c>
      <x:c r="J13" s="8" t="n">
        <x:v>1.19</x:v>
      </x:c>
      <x:c r="K13" t="str">
        <x:v>excluded</x:v>
      </x:c>
      <x:c r="L13" t="str"/>
    </x:row>
    <x:row r="14">
      <x:c r="A14" t="str">
        <x:v>BON-20260716-001</x:v>
      </x:c>
      <x:c r="B14" t="n">
        <x:v>13</x:v>
      </x:c>
      <x:c r="C14" t="str">
        <x:v>KBio Fusilli Vollkorn</x:v>
      </x:c>
      <x:c r="D14" t="n">
        <x:v>2</x:v>
      </x:c>
      <x:c r="E14" t="str">
        <x:v>Packung</x:v>
      </x:c>
      <x:c r="F14" s="8" t="n">
        <x:v>1.7</x:v>
      </x:c>
      <x:c r="G14" s="8" t="n">
        <x:v>-0.34</x:v>
      </x:c>
      <x:c r="H14" s="8" t="n">
        <x:v>1.36</x:v>
      </x:c>
      <x:c r="I14" s="8" t="n">
        <x:v>1.36</x:v>
      </x:c>
      <x:c r="J14" s="8" t="n">
        <x:v>0</x:v>
      </x:c>
      <x:c r="K14" t="str">
        <x:v>holiday</x:v>
      </x:c>
      <x:c r="L14" t="str"/>
    </x:row>
    <x:row r="15">
      <x:c r="A15" t="str">
        <x:v>BON-20260716-001</x:v>
      </x:c>
      <x:c r="B15" t="n">
        <x:v>14</x:v>
      </x:c>
      <x:c r="C15" t="str">
        <x:v>KBio Tomaten 500 g</x:v>
      </x:c>
      <x:c r="D15" t="n">
        <x:v>1</x:v>
      </x:c>
      <x:c r="E15" t="str">
        <x:v>Packung</x:v>
      </x:c>
      <x:c r="F15" s="8" t="n">
        <x:v>2.79</x:v>
      </x:c>
      <x:c r="G15" s="8" t="n">
        <x:v>0</x:v>
      </x:c>
      <x:c r="H15" s="8" t="n">
        <x:v>2.79</x:v>
      </x:c>
      <x:c r="I15" s="8" t="n">
        <x:v>2.79</x:v>
      </x:c>
      <x:c r="J15" s="8" t="n">
        <x:v>0</x:v>
      </x:c>
      <x:c r="K15" t="str">
        <x:v>holiday</x:v>
      </x:c>
      <x:c r="L15" t="str"/>
    </x:row>
    <x:row r="16">
      <x:c r="A16" t="str">
        <x:v>BON-20260716-001</x:v>
      </x:c>
      <x:c r="B16" t="n">
        <x:v>15</x:v>
      </x:c>
      <x:c r="C16" t="str">
        <x:v>K-free Schlagsahne</x:v>
      </x:c>
      <x:c r="D16" t="n">
        <x:v>1</x:v>
      </x:c>
      <x:c r="E16" t="str">
        <x:v>Packung</x:v>
      </x:c>
      <x:c r="F16" s="8" t="n">
        <x:v>0.99</x:v>
      </x:c>
      <x:c r="G16" s="8" t="n">
        <x:v>0</x:v>
      </x:c>
      <x:c r="H16" s="8" t="n">
        <x:v>0.99</x:v>
      </x:c>
      <x:c r="I16" s="8" t="n">
        <x:v>0</x:v>
      </x:c>
      <x:c r="J16" s="8" t="n">
        <x:v>0.99</x:v>
      </x:c>
      <x:c r="K16" t="str">
        <x:v>excluded</x:v>
      </x:c>
      <x:c r="L16" t="str"/>
    </x:row>
    <x:row r="17">
      <x:c r="A17" t="str">
        <x:v>BON-20260716-001</x:v>
      </x:c>
      <x:c r="B17" t="n">
        <x:v>16</x:v>
      </x:c>
      <x:c r="C17" t="str">
        <x:v>Leibniz Black'n White</x:v>
      </x:c>
      <x:c r="D17" t="n">
        <x:v>1</x:v>
      </x:c>
      <x:c r="E17" t="str">
        <x:v>Packung</x:v>
      </x:c>
      <x:c r="F17" s="8" t="n">
        <x:v>1.99</x:v>
      </x:c>
      <x:c r="G17" s="8" t="n">
        <x:v>0</x:v>
      </x:c>
      <x:c r="H17" s="8" t="n">
        <x:v>1.99</x:v>
      </x:c>
      <x:c r="I17" s="8" t="n">
        <x:v>0</x:v>
      </x:c>
      <x:c r="J17" s="8" t="n">
        <x:v>1.99</x:v>
      </x:c>
      <x:c r="K17" t="str">
        <x:v>excluded</x:v>
      </x:c>
      <x:c r="L17" t="str"/>
    </x:row>
    <x:row r="18">
      <x:c r="A18" t="str">
        <x:v>BON-20260716-001</x:v>
      </x:c>
      <x:c r="B18" t="n">
        <x:v>17</x:v>
      </x:c>
      <x:c r="C18" t="str">
        <x:v>KLC Chips leicht gesalzen</x:v>
      </x:c>
      <x:c r="D18" t="n">
        <x:v>1</x:v>
      </x:c>
      <x:c r="E18" t="str">
        <x:v>Packung</x:v>
      </x:c>
      <x:c r="F18" s="8" t="n">
        <x:v>1.39</x:v>
      </x:c>
      <x:c r="G18" s="8" t="n">
        <x:v>0</x:v>
      </x:c>
      <x:c r="H18" s="8" t="n">
        <x:v>1.39</x:v>
      </x:c>
      <x:c r="I18" s="8" t="n">
        <x:v>1.39</x:v>
      </x:c>
      <x:c r="J18" s="8" t="n">
        <x:v>0</x:v>
      </x:c>
      <x:c r="K18" t="str">
        <x:v>holiday</x:v>
      </x:c>
      <x:c r="L18" t="str"/>
    </x:row>
    <x:row r="19">
      <x:c r="A19" t="str">
        <x:v>BON-20260716-001</x:v>
      </x:c>
      <x:c r="B19" t="n">
        <x:v>18</x:v>
      </x:c>
      <x:c r="C19" t="str">
        <x:v>KLC American Cookies</x:v>
      </x:c>
      <x:c r="D19" t="n">
        <x:v>1</x:v>
      </x:c>
      <x:c r="E19" t="str">
        <x:v>Packung</x:v>
      </x:c>
      <x:c r="F19" s="8" t="n">
        <x:v>1.29</x:v>
      </x:c>
      <x:c r="G19" s="8" t="n">
        <x:v>0</x:v>
      </x:c>
      <x:c r="H19" s="8" t="n">
        <x:v>1.29</x:v>
      </x:c>
      <x:c r="I19" s="8" t="n">
        <x:v>0</x:v>
      </x:c>
      <x:c r="J19" s="8" t="n">
        <x:v>1.29</x:v>
      </x:c>
      <x:c r="K19" t="str">
        <x:v>excluded</x:v>
      </x:c>
      <x:c r="L19" t="str"/>
    </x:row>
    <x:row r="20">
      <x:c r="A20" t="str">
        <x:v>BON-20260716-001</x:v>
      </x:c>
      <x:c r="B20" t="n">
        <x:v>19</x:v>
      </x:c>
      <x:c r="C20" t="str">
        <x:v>K-Bio Honig cremig</x:v>
      </x:c>
      <x:c r="D20" t="n">
        <x:v>1</x:v>
      </x:c>
      <x:c r="E20" t="str">
        <x:v>Glas</x:v>
      </x:c>
      <x:c r="F20" s="8" t="n">
        <x:v>1.99</x:v>
      </x:c>
      <x:c r="G20" s="8" t="n">
        <x:v>0</x:v>
      </x:c>
      <x:c r="H20" s="8" t="n">
        <x:v>1.99</x:v>
      </x:c>
      <x:c r="I20" s="8" t="n">
        <x:v>0</x:v>
      </x:c>
      <x:c r="J20" s="8" t="n">
        <x:v>1.99</x:v>
      </x:c>
      <x:c r="K20" t="str">
        <x:v>excluded</x:v>
      </x:c>
      <x:c r="L20" t="str"/>
    </x:row>
    <x:row r="21">
      <x:c r="A21" t="str">
        <x:v>BON-20260716-001</x:v>
      </x:c>
      <x:c r="B21" t="n">
        <x:v>20</x:v>
      </x:c>
      <x:c r="C21" t="str">
        <x:v>Harzbube Handkäse</x:v>
      </x:c>
      <x:c r="D21" t="n">
        <x:v>1</x:v>
      </x:c>
      <x:c r="E21" t="str">
        <x:v>Packung</x:v>
      </x:c>
      <x:c r="F21" s="8" t="n">
        <x:v>1.99</x:v>
      </x:c>
      <x:c r="G21" s="8" t="n">
        <x:v>0</x:v>
      </x:c>
      <x:c r="H21" s="8" t="n">
        <x:v>1.99</x:v>
      </x:c>
      <x:c r="I21" s="8" t="n">
        <x:v>1.99</x:v>
      </x:c>
      <x:c r="J21" s="8" t="n">
        <x:v>0</x:v>
      </x:c>
      <x:c r="K21" t="str">
        <x:v>holiday</x:v>
      </x:c>
      <x:c r="L21" t="str">
        <x:v>Nach Nutzerkorrektur enthalten</x:v>
      </x:c>
    </x:row>
    <x:row r="22">
      <x:c r="A22" t="str">
        <x:v>BON-20260716-001</x:v>
      </x:c>
      <x:c r="B22" t="n">
        <x:v>21</x:v>
      </x:c>
      <x:c r="C22" t="str">
        <x:v>St. Mang Limburger</x:v>
      </x:c>
      <x:c r="D22" t="n">
        <x:v>1</x:v>
      </x:c>
      <x:c r="E22" t="str">
        <x:v>Packung</x:v>
      </x:c>
      <x:c r="F22" s="8" t="n">
        <x:v>1.89</x:v>
      </x:c>
      <x:c r="G22" s="8" t="n">
        <x:v>0</x:v>
      </x:c>
      <x:c r="H22" s="8" t="n">
        <x:v>1.89</x:v>
      </x:c>
      <x:c r="I22" s="8" t="n">
        <x:v>1.89</x:v>
      </x:c>
      <x:c r="J22" s="8" t="n">
        <x:v>0</x:v>
      </x:c>
      <x:c r="K22" t="str">
        <x:v>holiday</x:v>
      </x:c>
      <x:c r="L22" t="str"/>
    </x:row>
    <x:row r="23">
      <x:c r="A23" t="str">
        <x:v>BON-20260716-001</x:v>
      </x:c>
      <x:c r="B23" t="n">
        <x:v>22</x:v>
      </x:c>
      <x:c r="C23" t="str">
        <x:v>KBio Birnen 500 g</x:v>
      </x:c>
      <x:c r="D23" t="n">
        <x:v>1</x:v>
      </x:c>
      <x:c r="E23" t="str">
        <x:v>Packung</x:v>
      </x:c>
      <x:c r="F23" s="8" t="n">
        <x:v>2.79</x:v>
      </x:c>
      <x:c r="G23" s="8" t="n">
        <x:v>-0.56</x:v>
      </x:c>
      <x:c r="H23" s="8" t="n">
        <x:v>2.23</x:v>
      </x:c>
      <x:c r="I23" s="8" t="n">
        <x:v>2.23</x:v>
      </x:c>
      <x:c r="J23" s="8" t="n">
        <x:v>0</x:v>
      </x:c>
      <x:c r="K23" t="str">
        <x:v>holiday</x:v>
      </x:c>
      <x:c r="L23" t="str"/>
    </x:row>
    <x:row r="24">
      <x:c r="A24" t="str">
        <x:v>BON-20260716-001</x:v>
      </x:c>
      <x:c r="B24" t="n">
        <x:v>23</x:v>
      </x:c>
      <x:c r="C24" t="str">
        <x:v>KBio Zitronen 500 g</x:v>
      </x:c>
      <x:c r="D24" t="n">
        <x:v>2</x:v>
      </x:c>
      <x:c r="E24" t="str">
        <x:v>Packung</x:v>
      </x:c>
      <x:c r="F24" s="8" t="n">
        <x:v>3.98</x:v>
      </x:c>
      <x:c r="G24" s="8" t="n">
        <x:v>0</x:v>
      </x:c>
      <x:c r="H24" s="8" t="n">
        <x:v>3.98</x:v>
      </x:c>
      <x:c r="I24" s="8" t="n">
        <x:v>0</x:v>
      </x:c>
      <x:c r="J24" s="8" t="n">
        <x:v>3.98</x:v>
      </x:c>
      <x:c r="K24" t="str">
        <x:v>excluded</x:v>
      </x:c>
      <x:c r="L24" t="str"/>
    </x:row>
    <x:row r="25">
      <x:c r="A25" t="str">
        <x:v>BON-20260716-001</x:v>
      </x:c>
      <x:c r="B25" t="n">
        <x:v>24</x:v>
      </x:c>
      <x:c r="C25" t="str">
        <x:v>Avocado RTE</x:v>
      </x:c>
      <x:c r="D25" t="n">
        <x:v>2</x:v>
      </x:c>
      <x:c r="E25" t="str">
        <x:v>Stk.</x:v>
      </x:c>
      <x:c r="F25" s="8" t="n">
        <x:v>2.22</x:v>
      </x:c>
      <x:c r="G25" s="8" t="n">
        <x:v>-0.43</x:v>
      </x:c>
      <x:c r="H25" s="8" t="n">
        <x:v>1.79</x:v>
      </x:c>
      <x:c r="I25" s="8" t="n">
        <x:v>0</x:v>
      </x:c>
      <x:c r="J25" s="8" t="n">
        <x:v>1.79</x:v>
      </x:c>
      <x:c r="K25" t="str">
        <x:v>excluded</x:v>
      </x:c>
      <x:c r="L25" t="str"/>
    </x:row>
    <x:row r="26">
      <x:c r="A26" t="str">
        <x:v>BON-20260716-001</x:v>
      </x:c>
      <x:c r="B26" t="n">
        <x:v>25</x:v>
      </x:c>
      <x:c r="C26" t="str">
        <x:v>Romatomaten 500 g</x:v>
      </x:c>
      <x:c r="D26" t="n">
        <x:v>1</x:v>
      </x:c>
      <x:c r="E26" t="str">
        <x:v>Packung</x:v>
      </x:c>
      <x:c r="F26" s="8" t="n">
        <x:v>2.79</x:v>
      </x:c>
      <x:c r="G26" s="8" t="n">
        <x:v>0</x:v>
      </x:c>
      <x:c r="H26" s="8" t="n">
        <x:v>2.79</x:v>
      </x:c>
      <x:c r="I26" s="8" t="n">
        <x:v>2.79</x:v>
      </x:c>
      <x:c r="J26" s="8" t="n">
        <x:v>0</x:v>
      </x:c>
      <x:c r="K26" t="str">
        <x:v>holiday</x:v>
      </x:c>
      <x:c r="L26" t="str"/>
    </x:row>
    <x:row r="27">
      <x:c r="A27" t="str">
        <x:v>BON-20260716-001</x:v>
      </x:c>
      <x:c r="B27" t="n">
        <x:v>26</x:v>
      </x:c>
      <x:c r="C27" t="str">
        <x:v>Apostels Zaziki</x:v>
      </x:c>
      <x:c r="D27" t="n">
        <x:v>1</x:v>
      </x:c>
      <x:c r="E27" t="str">
        <x:v>Packung</x:v>
      </x:c>
      <x:c r="F27" s="8" t="n">
        <x:v>0.89</x:v>
      </x:c>
      <x:c r="G27" s="8" t="n">
        <x:v>-0.2</x:v>
      </x:c>
      <x:c r="H27" s="8" t="n">
        <x:v>0.69</x:v>
      </x:c>
      <x:c r="I27" s="8" t="n">
        <x:v>0</x:v>
      </x:c>
      <x:c r="J27" s="8" t="n">
        <x:v>0.69</x:v>
      </x:c>
      <x:c r="K27" t="str">
        <x:v>excluded</x:v>
      </x:c>
      <x:c r="L27" t="str"/>
    </x:row>
    <x:row r="28">
      <x:c r="A28" t="str">
        <x:v>BON-20260716-001</x:v>
      </x:c>
      <x:c r="B28" t="n">
        <x:v>27</x:v>
      </x:c>
      <x:c r="C28" t="str">
        <x:v>KBio Kartoffeln 1,5 kg</x:v>
      </x:c>
      <x:c r="D28" t="n">
        <x:v>2</x:v>
      </x:c>
      <x:c r="E28" t="str">
        <x:v>Packung</x:v>
      </x:c>
      <x:c r="F28" s="8" t="n">
        <x:v>4.98</x:v>
      </x:c>
      <x:c r="G28" s="8" t="n">
        <x:v>0</x:v>
      </x:c>
      <x:c r="H28" s="8" t="n">
        <x:v>4.98</x:v>
      </x:c>
      <x:c r="I28" s="8" t="n">
        <x:v>4.98</x:v>
      </x:c>
      <x:c r="J28" s="8" t="n">
        <x:v>0</x:v>
      </x:c>
      <x:c r="K28" t="str">
        <x:v>holiday</x:v>
      </x:c>
      <x:c r="L28" t="str"/>
    </x:row>
    <x:row r="29">
      <x:c r="A29" t="str">
        <x:v>BON-20260716-001</x:v>
      </x:c>
      <x:c r="B29" t="n">
        <x:v>28</x:v>
      </x:c>
      <x:c r="C29" t="str">
        <x:v>Leergut Mopro</x:v>
      </x:c>
      <x:c r="D29" t="n">
        <x:v>1</x:v>
      </x:c>
      <x:c r="E29" t="str">
        <x:v>Gutschrift</x:v>
      </x:c>
      <x:c r="F29" s="8" t="n">
        <x:v>-0.15</x:v>
      </x:c>
      <x:c r="G29" s="8" t="n">
        <x:v>0</x:v>
      </x:c>
      <x:c r="H29" s="8" t="n">
        <x:v>-0.15</x:v>
      </x:c>
      <x:c r="I29" s="8" t="n">
        <x:v>-0.15</x:v>
      </x:c>
      <x:c r="J29" s="8" t="n">
        <x:v>0</x:v>
      </x:c>
      <x:c r="K29" t="str">
        <x:v>holiday</x:v>
      </x:c>
      <x:c r="L29" t="str"/>
    </x:row>
    <x:row r="30">
      <x:c r="A30" t="str">
        <x:v>BON-20260716-001</x:v>
      </x:c>
      <x:c r="B30" t="n">
        <x:v>29</x:v>
      </x:c>
      <x:c r="C30" t="str">
        <x:v>KBio Möhren 1 kg</x:v>
      </x:c>
      <x:c r="D30" t="n">
        <x:v>1</x:v>
      </x:c>
      <x:c r="E30" t="str">
        <x:v>Packung</x:v>
      </x:c>
      <x:c r="F30" s="8" t="n">
        <x:v>1.79</x:v>
      </x:c>
      <x:c r="G30" s="8" t="n">
        <x:v>0</x:v>
      </x:c>
      <x:c r="H30" s="8" t="n">
        <x:v>1.79</x:v>
      </x:c>
      <x:c r="I30" s="8" t="n">
        <x:v>1.79</x:v>
      </x:c>
      <x:c r="J30" s="8" t="n">
        <x:v>0</x:v>
      </x:c>
      <x:c r="K30" t="str">
        <x:v>holiday</x:v>
      </x:c>
      <x:c r="L30" t="str"/>
    </x:row>
    <x:row r="31">
      <x:c r="A31" t="str">
        <x:v>BON-20260716-002</x:v>
      </x:c>
      <x:c r="B31" t="n">
        <x:v>1</x:v>
      </x:c>
      <x:c r="C31" t="str">
        <x:v>Schrozberg Kefir im Glas 1,5 %, 500 g</x:v>
      </x:c>
      <x:c r="D31" t="n">
        <x:v>2</x:v>
      </x:c>
      <x:c r="E31" t="str">
        <x:v>Stk.</x:v>
      </x:c>
      <x:c r="F31" s="8" t="n">
        <x:v>3.58</x:v>
      </x:c>
      <x:c r="G31" s="8" t="n">
        <x:v>0</x:v>
      </x:c>
      <x:c r="H31" s="8" t="n">
        <x:v>3.58</x:v>
      </x:c>
      <x:c r="I31" s="8" t="n">
        <x:v>0</x:v>
      </x:c>
      <x:c r="J31" s="8" t="n">
        <x:v>3.58</x:v>
      </x:c>
      <x:c r="K31" t="str">
        <x:v>excluded</x:v>
      </x:c>
      <x:c r="L31" t="str"/>
    </x:row>
    <x:row r="32">
      <x:c r="A32" t="str">
        <x:v>BON-20260716-002</x:v>
      </x:c>
      <x:c r="B32" t="n">
        <x:v>2</x:v>
      </x:c>
      <x:c r="C32" t="str">
        <x:v>Pfand Schrozberg Kefir</x:v>
      </x:c>
      <x:c r="D32" t="n">
        <x:v>2</x:v>
      </x:c>
      <x:c r="E32" t="str">
        <x:v>Stk.</x:v>
      </x:c>
      <x:c r="F32" s="8" t="n">
        <x:v>0.3</x:v>
      </x:c>
      <x:c r="G32" s="8" t="n">
        <x:v>0</x:v>
      </x:c>
      <x:c r="H32" s="8" t="n">
        <x:v>0.3</x:v>
      </x:c>
      <x:c r="I32" s="8" t="n">
        <x:v>0</x:v>
      </x:c>
      <x:c r="J32" s="8" t="n">
        <x:v>0.3</x:v>
      </x:c>
      <x:c r="K32" t="str">
        <x:v>excluded</x:v>
      </x:c>
      <x:c r="L32" t="str"/>
    </x:row>
    <x:row r="33">
      <x:c r="A33" t="str">
        <x:v>BON-20260716-002</x:v>
      </x:c>
      <x:c r="B33" t="n">
        <x:v>3</x:v>
      </x:c>
      <x:c r="C33" t="str">
        <x:v>Paul Söbbeke Bio Magerquark, 500 g</x:v>
      </x:c>
      <x:c r="D33" t="n">
        <x:v>2</x:v>
      </x:c>
      <x:c r="E33" t="str">
        <x:v>Stk.</x:v>
      </x:c>
      <x:c r="F33" s="8" t="n">
        <x:v>4.98</x:v>
      </x:c>
      <x:c r="G33" s="8" t="n">
        <x:v>-1</x:v>
      </x:c>
      <x:c r="H33" s="8" t="n">
        <x:v>3.98</x:v>
      </x:c>
      <x:c r="I33" s="8" t="n">
        <x:v>3.98</x:v>
      </x:c>
      <x:c r="J33" s="8" t="n">
        <x:v>0</x:v>
      </x:c>
      <x:c r="K33" t="str">
        <x:v>holiday</x:v>
      </x:c>
      <x:c r="L33" t="str"/>
    </x:row>
    <x:row r="34">
      <x:c r="A34" t="str">
        <x:v>BON-20260716-002</x:v>
      </x:c>
      <x:c r="B34" t="n">
        <x:v>4</x:v>
      </x:c>
      <x:c r="C34" t="str">
        <x:v>Salatgurke</x:v>
      </x:c>
      <x:c r="D34" t="n">
        <x:v>1</x:v>
      </x:c>
      <x:c r="E34" t="str">
        <x:v>Stk.</x:v>
      </x:c>
      <x:c r="F34" s="8" t="n">
        <x:v>1.99</x:v>
      </x:c>
      <x:c r="G34" s="8" t="n">
        <x:v>0</x:v>
      </x:c>
      <x:c r="H34" s="8" t="n">
        <x:v>1.99</x:v>
      </x:c>
      <x:c r="I34" s="8" t="n">
        <x:v>0</x:v>
      </x:c>
      <x:c r="J34" s="8" t="n">
        <x:v>1.99</x:v>
      </x:c>
      <x:c r="K34" t="str">
        <x:v>excluded</x:v>
      </x:c>
      <x:c r="L34" t="str"/>
    </x:row>
    <x:row r="35">
      <x:c r="A35" t="str">
        <x:v>BON-20260716-002</x:v>
      </x:c>
      <x:c r="B35" t="n">
        <x:v>5</x:v>
      </x:c>
      <x:c r="C35" t="str">
        <x:v>Molkerei Söbbeke Speisequark 20 %</x:v>
      </x:c>
      <x:c r="D35" t="n">
        <x:v>2</x:v>
      </x:c>
      <x:c r="E35" t="str">
        <x:v>Stk.</x:v>
      </x:c>
      <x:c r="F35" s="8" t="n">
        <x:v>3.58</x:v>
      </x:c>
      <x:c r="G35" s="8" t="n">
        <x:v>0</x:v>
      </x:c>
      <x:c r="H35" s="8" t="n">
        <x:v>3.58</x:v>
      </x:c>
      <x:c r="I35" s="8" t="n">
        <x:v>3.58</x:v>
      </x:c>
      <x:c r="J35" s="8" t="n">
        <x:v>0</x:v>
      </x:c>
      <x:c r="K35" t="str">
        <x:v>holiday</x:v>
      </x:c>
      <x:c r="L35" t="str"/>
    </x:row>
    <x:row r="36">
      <x:c r="A36" t="str">
        <x:v>BON-20260716-002</x:v>
      </x:c>
      <x:c r="B36" t="n">
        <x:v>6</x:v>
      </x:c>
      <x:c r="C36" t="str">
        <x:v>La Selva Polpa fine di pomodoro</x:v>
      </x:c>
      <x:c r="D36" t="n">
        <x:v>5</x:v>
      </x:c>
      <x:c r="E36" t="str">
        <x:v>Stk.</x:v>
      </x:c>
      <x:c r="F36" s="8" t="n">
        <x:v>16.45</x:v>
      </x:c>
      <x:c r="G36" s="8" t="n">
        <x:v>0</x:v>
      </x:c>
      <x:c r="H36" s="8" t="n">
        <x:v>16.45</x:v>
      </x:c>
      <x:c r="I36" s="8" t="n">
        <x:v>0</x:v>
      </x:c>
      <x:c r="J36" s="8" t="n">
        <x:v>16.45</x:v>
      </x:c>
      <x:c r="K36" t="str">
        <x:v>excluded</x:v>
      </x:c>
      <x:c r="L36" t="str"/>
    </x:row>
    <x:row r="37">
      <x:c r="A37" t="str">
        <x:v>BON-20260716-002</x:v>
      </x:c>
      <x:c r="B37" t="n">
        <x:v>7</x:v>
      </x:c>
      <x:c r="C37" t="str">
        <x:v>Kinder-Apfel Elstar, 1,5-kg-Beutel</x:v>
      </x:c>
      <x:c r="D37" t="n">
        <x:v>1</x:v>
      </x:c>
      <x:c r="E37" t="str">
        <x:v>Beutel</x:v>
      </x:c>
      <x:c r="F37" s="8" t="n">
        <x:v>3.99</x:v>
      </x:c>
      <x:c r="G37" s="8" t="n">
        <x:v>0</x:v>
      </x:c>
      <x:c r="H37" s="8" t="n">
        <x:v>3.99</x:v>
      </x:c>
      <x:c r="I37" s="8" t="n">
        <x:v>3.99</x:v>
      </x:c>
      <x:c r="J37" s="8" t="n">
        <x:v>0</x:v>
      </x:c>
      <x:c r="K37" t="str">
        <x:v>holiday</x:v>
      </x:c>
      <x:c r="L37" t="str">
        <x:v>Zugehörige Gutschrift separat</x:v>
      </x:c>
    </x:row>
    <x:row r="38">
      <x:c r="A38" t="str">
        <x:v>BON-20260716-002</x:v>
      </x:c>
      <x:c r="B38" t="n">
        <x:v>8</x:v>
      </x:c>
      <x:c r="C38" t="str">
        <x:v>BIO COMPANY Linsenchips Falafel, 75 g</x:v>
      </x:c>
      <x:c r="D38" t="n">
        <x:v>1</x:v>
      </x:c>
      <x:c r="E38" t="str">
        <x:v>Packung</x:v>
      </x:c>
      <x:c r="F38" s="8" t="n">
        <x:v>1.89</x:v>
      </x:c>
      <x:c r="G38" s="8" t="n">
        <x:v>0</x:v>
      </x:c>
      <x:c r="H38" s="8" t="n">
        <x:v>1.89</x:v>
      </x:c>
      <x:c r="I38" s="8" t="n">
        <x:v>1.89</x:v>
      </x:c>
      <x:c r="J38" s="8" t="n">
        <x:v>0</x:v>
      </x:c>
      <x:c r="K38" t="str">
        <x:v>holiday</x:v>
      </x:c>
      <x:c r="L38" t="str"/>
    </x:row>
    <x:row r="39">
      <x:c r="A39" t="str">
        <x:v>BON-20260716-002</x:v>
      </x:c>
      <x:c r="B39" t="n">
        <x:v>9</x:v>
      </x:c>
      <x:c r="C39" t="str">
        <x:v>BIO COMPANY Grissini Sesam</x:v>
      </x:c>
      <x:c r="D39" t="n">
        <x:v>1</x:v>
      </x:c>
      <x:c r="E39" t="str">
        <x:v>Packung</x:v>
      </x:c>
      <x:c r="F39" s="8" t="n">
        <x:v>1.99</x:v>
      </x:c>
      <x:c r="G39" s="8" t="n">
        <x:v>0</x:v>
      </x:c>
      <x:c r="H39" s="8" t="n">
        <x:v>1.99</x:v>
      </x:c>
      <x:c r="I39" s="8" t="n">
        <x:v>0</x:v>
      </x:c>
      <x:c r="J39" s="8" t="n">
        <x:v>1.99</x:v>
      </x:c>
      <x:c r="K39" t="str">
        <x:v>excluded</x:v>
      </x:c>
      <x:c r="L39" t="str"/>
    </x:row>
    <x:row r="40">
      <x:c r="A40" t="str">
        <x:v>BON-20260716-002</x:v>
      </x:c>
      <x:c r="B40" t="n">
        <x:v>10</x:v>
      </x:c>
      <x:c r="C40" t="str">
        <x:v>Erdmannhauser Dinkel-Knusperbrezeln</x:v>
      </x:c>
      <x:c r="D40" t="n">
        <x:v>1</x:v>
      </x:c>
      <x:c r="E40" t="str">
        <x:v>Packung</x:v>
      </x:c>
      <x:c r="F40" s="8" t="n">
        <x:v>2.49</x:v>
      </x:c>
      <x:c r="G40" s="8" t="n">
        <x:v>0</x:v>
      </x:c>
      <x:c r="H40" s="8" t="n">
        <x:v>2.49</x:v>
      </x:c>
      <x:c r="I40" s="8" t="n">
        <x:v>0</x:v>
      </x:c>
      <x:c r="J40" s="8" t="n">
        <x:v>2.49</x:v>
      </x:c>
      <x:c r="K40" t="str">
        <x:v>excluded</x:v>
      </x:c>
      <x:c r="L40" t="str"/>
    </x:row>
    <x:row r="41">
      <x:c r="A41" t="str">
        <x:v>BON-20260716-002</x:v>
      </x:c>
      <x:c r="B41" t="n">
        <x:v>11</x:v>
      </x:c>
      <x:c r="C41" t="str">
        <x:v>Lieferung 7 % MwSt.</x:v>
      </x:c>
      <x:c r="D41" t="n">
        <x:v>1</x:v>
      </x:c>
      <x:c r="E41" t="str">
        <x:v>Gebühr</x:v>
      </x:c>
      <x:c r="F41" s="8" t="n">
        <x:v>0.99</x:v>
      </x:c>
      <x:c r="G41" s="8" t="n">
        <x:v>0</x:v>
      </x:c>
      <x:c r="H41" s="8" t="n">
        <x:v>0.99</x:v>
      </x:c>
      <x:c r="I41" s="8" t="n">
        <x:v>0</x:v>
      </x:c>
      <x:c r="J41" s="8" t="n">
        <x:v>0.99</x:v>
      </x:c>
      <x:c r="K41" t="str">
        <x:v>excluded</x:v>
      </x:c>
      <x:c r="L41" t="str">
        <x:v>Durch Lieferrabatt neutralisiert</x:v>
      </x:c>
    </x:row>
    <x:row r="42">
      <x:c r="A42" t="str">
        <x:v>BON-20260716-002</x:v>
      </x:c>
      <x:c r="B42" t="n">
        <x:v>12</x:v>
      </x:c>
      <x:c r="C42" t="str">
        <x:v>Lieferung 19 % MwSt.</x:v>
      </x:c>
      <x:c r="D42" t="n">
        <x:v>1</x:v>
      </x:c>
      <x:c r="E42" t="str">
        <x:v>Gebühr</x:v>
      </x:c>
      <x:c r="F42" s="8" t="n">
        <x:v>0.01</x:v>
      </x:c>
      <x:c r="G42" s="8" t="n">
        <x:v>0</x:v>
      </x:c>
      <x:c r="H42" s="8" t="n">
        <x:v>0.01</x:v>
      </x:c>
      <x:c r="I42" s="8" t="n">
        <x:v>0</x:v>
      </x:c>
      <x:c r="J42" s="8" t="n">
        <x:v>0.01</x:v>
      </x:c>
      <x:c r="K42" t="str">
        <x:v>excluded</x:v>
      </x:c>
      <x:c r="L42" t="str">
        <x:v>Durch Lieferrabatt neutralisiert</x:v>
      </x:c>
    </x:row>
    <x:row r="43">
      <x:c r="A43" t="str">
        <x:v>BON-20260716-002</x:v>
      </x:c>
      <x:c r="B43" t="n">
        <x:v>13</x:v>
      </x:c>
      <x:c r="C43" t="str">
        <x:v>Lieferrabatt bei Vorbestellung 7 %</x:v>
      </x:c>
      <x:c r="D43" t="n">
        <x:v>1</x:v>
      </x:c>
      <x:c r="E43" t="str">
        <x:v>Rabatt</x:v>
      </x:c>
      <x:c r="F43" s="8" t="n">
        <x:v>-0.99</x:v>
      </x:c>
      <x:c r="G43" s="8" t="n">
        <x:v>0</x:v>
      </x:c>
      <x:c r="H43" s="8" t="n">
        <x:v>-0.99</x:v>
      </x:c>
      <x:c r="I43" s="8" t="n">
        <x:v>0</x:v>
      </x:c>
      <x:c r="J43" s="8" t="n">
        <x:v>-0.99</x:v>
      </x:c>
      <x:c r="K43" t="str">
        <x:v>excluded</x:v>
      </x:c>
      <x:c r="L43" t="str"/>
    </x:row>
    <x:row r="44">
      <x:c r="A44" t="str">
        <x:v>BON-20260716-002</x:v>
      </x:c>
      <x:c r="B44" t="n">
        <x:v>14</x:v>
      </x:c>
      <x:c r="C44" t="str">
        <x:v>Lieferrabatt bei Vorbestellung 19 %</x:v>
      </x:c>
      <x:c r="D44" t="n">
        <x:v>1</x:v>
      </x:c>
      <x:c r="E44" t="str">
        <x:v>Rabatt</x:v>
      </x:c>
      <x:c r="F44" s="8" t="n">
        <x:v>-0.01</x:v>
      </x:c>
      <x:c r="G44" s="8" t="n">
        <x:v>0</x:v>
      </x:c>
      <x:c r="H44" s="8" t="n">
        <x:v>-0.01</x:v>
      </x:c>
      <x:c r="I44" s="8" t="n">
        <x:v>0</x:v>
      </x:c>
      <x:c r="J44" s="8" t="n">
        <x:v>-0.01</x:v>
      </x:c>
      <x:c r="K44" t="str">
        <x:v>excluded</x:v>
      </x:c>
      <x:c r="L44" t="str"/>
    </x:row>
    <x:row r="45">
      <x:c r="A45" t="str">
        <x:v>BON-20260716-002</x:v>
      </x:c>
      <x:c r="B45" t="n">
        <x:v>15</x:v>
      </x:c>
      <x:c r="C45" t="str">
        <x:v>Servicegebühr 7 % MwSt.</x:v>
      </x:c>
      <x:c r="D45" t="n">
        <x:v>1</x:v>
      </x:c>
      <x:c r="E45" t="str">
        <x:v>Gebühr</x:v>
      </x:c>
      <x:c r="F45" s="8" t="n">
        <x:v>3.56</x:v>
      </x:c>
      <x:c r="G45" s="8" t="n">
        <x:v>0</x:v>
      </x:c>
      <x:c r="H45" s="8" t="n">
        <x:v>3.56</x:v>
      </x:c>
      <x:c r="I45" s="8" t="n">
        <x:v>1.19</x:v>
      </x:c>
      <x:c r="J45" s="8" t="n">
        <x:v>2.37</x:v>
      </x:c>
      <x:c r="K45" t="str">
        <x:v>partial</x:v>
      </x:c>
      <x:c r="L45" t="str"/>
    </x:row>
    <x:row r="46">
      <x:c r="A46" t="str">
        <x:v>BON-20260716-002</x:v>
      </x:c>
      <x:c r="B46" t="n">
        <x:v>16</x:v>
      </x:c>
      <x:c r="C46" t="str">
        <x:v>Servicegebühr 19 % MwSt.</x:v>
      </x:c>
      <x:c r="D46" t="n">
        <x:v>1</x:v>
      </x:c>
      <x:c r="E46" t="str">
        <x:v>Gebühr</x:v>
      </x:c>
      <x:c r="F46" s="8" t="n">
        <x:v>0.03</x:v>
      </x:c>
      <x:c r="G46" s="8" t="n">
        <x:v>0</x:v>
      </x:c>
      <x:c r="H46" s="8" t="n">
        <x:v>0.03</x:v>
      </x:c>
      <x:c r="I46" s="8" t="n">
        <x:v>0.01</x:v>
      </x:c>
      <x:c r="J46" s="8" t="n">
        <x:v>0.02</x:v>
      </x:c>
      <x:c r="K46" t="str">
        <x:v>partial</x:v>
      </x:c>
      <x:c r="L46" t="str"/>
    </x:row>
    <x:row r="47">
      <x:c r="A47" t="str">
        <x:v>BON-20260716-002</x:v>
      </x:c>
      <x:c r="B47" t="n">
        <x:v>17</x:v>
      </x:c>
      <x:c r="C47" t="str">
        <x:v>Wolt+ Servicegebühr-Rabatt 7 %</x:v>
      </x:c>
      <x:c r="D47" t="n">
        <x:v>1</x:v>
      </x:c>
      <x:c r="E47" t="str">
        <x:v>Rabatt</x:v>
      </x:c>
      <x:c r="F47" s="8" t="n">
        <x:v>-1.43</x:v>
      </x:c>
      <x:c r="G47" s="8" t="n">
        <x:v>0</x:v>
      </x:c>
      <x:c r="H47" s="8" t="n">
        <x:v>-1.43</x:v>
      </x:c>
      <x:c r="I47" s="8" t="n">
        <x:v>-0.48</x:v>
      </x:c>
      <x:c r="J47" s="8" t="n">
        <x:v>-0.95</x:v>
      </x:c>
      <x:c r="K47" t="str">
        <x:v>partial</x:v>
      </x:c>
      <x:c r="L47" t="str"/>
    </x:row>
    <x:row r="48">
      <x:c r="A48" t="str">
        <x:v>BON-20260716-002</x:v>
      </x:c>
      <x:c r="B48" t="n">
        <x:v>18</x:v>
      </x:c>
      <x:c r="C48" t="str">
        <x:v>Wolt+ Servicegebühr-Rabatt 19 %</x:v>
      </x:c>
      <x:c r="D48" t="n">
        <x:v>1</x:v>
      </x:c>
      <x:c r="E48" t="str">
        <x:v>Rabatt</x:v>
      </x:c>
      <x:c r="F48" s="8" t="n">
        <x:v>-0.01</x:v>
      </x:c>
      <x:c r="G48" s="8" t="n">
        <x:v>0</x:v>
      </x:c>
      <x:c r="H48" s="8" t="n">
        <x:v>-0.01</x:v>
      </x:c>
      <x:c r="I48" s="8" t="n">
        <x:v>0</x:v>
      </x:c>
      <x:c r="J48" s="8" t="n">
        <x:v>-0.01</x:v>
      </x:c>
      <x:c r="K48" t="str">
        <x:v>excluded</x:v>
      </x:c>
      <x:c r="L48" t="str"/>
    </x:row>
    <x:row r="49">
      <x:c r="A49" t="str">
        <x:v>BON-20260716-002</x:v>
      </x:c>
      <x:c r="B49" t="n">
        <x:v>19</x:v>
      </x:c>
      <x:c r="C49" t="str">
        <x:v>Bestellrabatt</x:v>
      </x:c>
      <x:c r="D49" t="n">
        <x:v>1</x:v>
      </x:c>
      <x:c r="E49" t="str">
        <x:v>Rabatt</x:v>
      </x:c>
      <x:c r="F49" s="8" t="n">
        <x:v>-4.02</x:v>
      </x:c>
      <x:c r="G49" s="8" t="n">
        <x:v>0</x:v>
      </x:c>
      <x:c r="H49" s="8" t="n">
        <x:v>-4.02</x:v>
      </x:c>
      <x:c r="I49" s="8" t="n">
        <x:v>-1.34</x:v>
      </x:c>
      <x:c r="J49" s="8" t="n">
        <x:v>-2.68</x:v>
      </x:c>
      <x:c r="K49" t="str">
        <x:v>partial</x:v>
      </x:c>
      <x:c r="L49" t="str"/>
    </x:row>
    <x:row r="50">
      <x:c r="A50" t="str">
        <x:v>GUT-20260716-001</x:v>
      </x:c>
      <x:c r="B50" t="n">
        <x:v>1</x:v>
      </x:c>
      <x:c r="C50" t="str">
        <x:v>Gutschrift Kinder-Apfel (Qualitätsreklamation)</x:v>
      </x:c>
      <x:c r="D50" t="n">
        <x:v>0.9</x:v>
      </x:c>
      <x:c r="E50" t="str">
        <x:v>Anteil</x:v>
      </x:c>
      <x:c r="F50" s="8" t="n">
        <x:v>-3.61</x:v>
      </x:c>
      <x:c r="G50" s="8" t="n">
        <x:v>0</x:v>
      </x:c>
      <x:c r="H50" s="8" t="n">
        <x:v>-3.61</x:v>
      </x:c>
      <x:c r="I50" s="8" t="n">
        <x:v>-3.61</x:v>
      </x:c>
      <x:c r="J50" s="8" t="n">
        <x:v>0</x:v>
      </x:c>
      <x:c r="K50" t="str">
        <x:v>holiday</x:v>
      </x:c>
      <x:c r="L50" t="str"/>
    </x:row>
    <x:row r="51">
      <x:c r="A51" t="str">
        <x:v>BON-20260717-001</x:v>
      </x:c>
      <x:c r="B51" t="n">
        <x:v>1</x:v>
      </x:c>
      <x:c r="C51" t="str">
        <x:v>Matjesfilets</x:v>
      </x:c>
      <x:c r="D51" t="n">
        <x:v>1</x:v>
      </x:c>
      <x:c r="E51" t="str">
        <x:v>Sammelposition</x:v>
      </x:c>
      <x:c r="F51" s="8" t="n">
        <x:v>25</x:v>
      </x:c>
      <x:c r="G51" s="8" t="n">
        <x:v>0</x:v>
      </x:c>
      <x:c r="H51" s="8" t="n">
        <x:v>25</x:v>
      </x:c>
      <x:c r="I51" s="8" t="n">
        <x:v>25</x:v>
      </x:c>
      <x:c r="J51" s="8" t="n">
        <x:v>0</x:v>
      </x:c>
      <x:c r="K51" t="str">
        <x:v>holiday</x:v>
      </x:c>
      <x:c r="L51" t="str">
        <x:v>Bis zum Originalbon als Sammelposition geführt</x:v>
      </x:c>
    </x:row>
    <x:row r="52">
      <x:c r="A52" t="str">
        <x:v>BON-20260717-002</x:v>
      </x:c>
      <x:c r="B52" t="n">
        <x:v>1</x:v>
      </x:c>
      <x:c r="C52" t="str">
        <x:v>Kembrot</x:v>
      </x:c>
      <x:c r="D52" t="n">
        <x:v>1</x:v>
      </x:c>
      <x:c r="E52" t="str">
        <x:v>Stk.</x:v>
      </x:c>
      <x:c r="F52" s="8" t="n">
        <x:v>16.79</x:v>
      </x:c>
      <x:c r="G52" s="8" t="n">
        <x:v>-1.54</x:v>
      </x:c>
      <x:c r="H52" s="8" t="n">
        <x:v>15.25</x:v>
      </x:c>
      <x:c r="I52" s="8" t="n">
        <x:v>15.25</x:v>
      </x:c>
      <x:c r="J52" s="8" t="n">
        <x:v>0</x:v>
      </x:c>
      <x:c r="K52" t="str">
        <x:v>holiday</x:v>
      </x:c>
      <x:c r="L52" t="str"/>
    </x:row>
    <x:row r="53">
      <x:c r="A53" t="str">
        <x:v>BON-20260717-002</x:v>
      </x:c>
      <x:c r="B53" t="n">
        <x:v>2</x:v>
      </x:c>
      <x:c r="C53" t="str">
        <x:v>Laugenbrezel</x:v>
      </x:c>
      <x:c r="D53" t="n">
        <x:v>1</x:v>
      </x:c>
      <x:c r="E53" t="str">
        <x:v>Stk.</x:v>
      </x:c>
      <x:c r="F53" s="8" t="n">
        <x:v>0.99</x:v>
      </x:c>
      <x:c r="G53" s="8" t="n">
        <x:v>-0.09</x:v>
      </x:c>
      <x:c r="H53" s="8" t="n">
        <x:v>0.9</x:v>
      </x:c>
      <x:c r="I53" s="8" t="n">
        <x:v>0</x:v>
      </x:c>
      <x:c r="J53" s="8" t="n">
        <x:v>0.9</x:v>
      </x:c>
      <x:c r="K53" t="str">
        <x:v>excluded</x:v>
      </x:c>
      <x:c r="L53" t="str">
        <x:v>Eigener Gebrauch; Rabattanteil berücksichtigt</x:v>
      </x:c>
    </x:row>
    <x:row r="54">
      <x:c r="A54" t="str">
        <x:v>BON-20260717-002</x:v>
      </x:c>
      <x:c r="B54" t="n">
        <x:v>3</x:v>
      </x:c>
      <x:c r="C54" t="str">
        <x:v>Saatenbrötchen</x:v>
      </x:c>
      <x:c r="D54" t="n">
        <x:v>1</x:v>
      </x:c>
      <x:c r="E54" t="str">
        <x:v>Stk.</x:v>
      </x:c>
      <x:c r="F54" s="8" t="n">
        <x:v>1.49</x:v>
      </x:c>
      <x:c r="G54" s="8" t="n">
        <x:v>-0.14</x:v>
      </x:c>
      <x:c r="H54" s="8" t="n">
        <x:v>1.35</x:v>
      </x:c>
      <x:c r="I54" s="8" t="n">
        <x:v>0</x:v>
      </x:c>
      <x:c r="J54" s="8" t="n">
        <x:v>1.35</x:v>
      </x:c>
      <x:c r="K54" t="str">
        <x:v>excluded</x:v>
      </x:c>
      <x:c r="L54" t="str">
        <x:v>Eigener Gebrauch; Rabattanteil berücksichtigt</x:v>
      </x:c>
    </x:row>
    <x:row r="55">
      <x:c r="A55" t="str">
        <x:v>BON-20260717-002</x:v>
      </x:c>
      <x:c r="B55" t="n">
        <x:v>4</x:v>
      </x:c>
      <x:c r="C55" t="str">
        <x:v>Dinkel-Früchtebrötchen</x:v>
      </x:c>
      <x:c r="D55" t="n">
        <x:v>1</x:v>
      </x:c>
      <x:c r="E55" t="str">
        <x:v>Stk.</x:v>
      </x:c>
      <x:c r="F55" s="8" t="n">
        <x:v>1.89</x:v>
      </x:c>
      <x:c r="G55" s="8" t="n">
        <x:v>-0.17</x:v>
      </x:c>
      <x:c r="H55" s="8" t="n">
        <x:v>1.72</x:v>
      </x:c>
      <x:c r="I55" s="8" t="n">
        <x:v>0</x:v>
      </x:c>
      <x:c r="J55" s="8" t="n">
        <x:v>1.72</x:v>
      </x:c>
      <x:c r="K55" t="str">
        <x:v>excluded</x:v>
      </x:c>
      <x:c r="L55" t="str">
        <x:v>Eigener Gebrauch; Rabattanteil berücksichtigt</x:v>
      </x:c>
    </x:row>
    <x:row r="56">
      <x:c r="A56" t="str">
        <x:v>BON-20260717-002</x:v>
      </x:c>
      <x:c r="B56" t="n">
        <x:v>5</x:v>
      </x:c>
      <x:c r="C56" t="str">
        <x:v>Vollkorn Kruste</x:v>
      </x:c>
      <x:c r="D56" t="n">
        <x:v>1</x:v>
      </x:c>
      <x:c r="E56" t="str">
        <x:v>Stk.</x:v>
      </x:c>
      <x:c r="F56" s="8" t="n">
        <x:v>5.99</x:v>
      </x:c>
      <x:c r="G56" s="8" t="n">
        <x:v>-0.55</x:v>
      </x:c>
      <x:c r="H56" s="8" t="n">
        <x:v>5.44</x:v>
      </x:c>
      <x:c r="I56" s="8" t="n">
        <x:v>5.44</x:v>
      </x:c>
      <x:c r="J56" s="8" t="n">
        <x:v>0</x:v>
      </x:c>
      <x:c r="K56" t="str">
        <x:v>holiday</x:v>
      </x:c>
      <x:c r="L56" t="str"/>
    </x:row>
    <x:row r="57">
      <x:c r="A57" t="str">
        <x:v>BON-20260717-002</x:v>
      </x:c>
      <x:c r="B57" t="n">
        <x:v>6</x:v>
      </x:c>
      <x:c r="C57" t="str">
        <x:v>Gouda jung</x:v>
      </x:c>
      <x:c r="D57" t="n">
        <x:v>1</x:v>
      </x:c>
      <x:c r="E57" t="str">
        <x:v>Stk.</x:v>
      </x:c>
      <x:c r="F57" s="8" t="n">
        <x:v>3.25</x:v>
      </x:c>
      <x:c r="G57" s="8" t="n">
        <x:v>-0.3</x:v>
      </x:c>
      <x:c r="H57" s="8" t="n">
        <x:v>2.95</x:v>
      </x:c>
      <x:c r="I57" s="8" t="n">
        <x:v>2.95</x:v>
      </x:c>
      <x:c r="J57" s="8" t="n">
        <x:v>0</x:v>
      </x:c>
      <x:c r="K57" t="str">
        <x:v>holiday</x:v>
      </x:c>
      <x:c r="L57" t="str"/>
    </x:row>
    <x:row r="58">
      <x:c r="A58" t="str">
        <x:v>BON-20260717-002</x:v>
      </x:c>
      <x:c r="B58" t="n">
        <x:v>7</x:v>
      </x:c>
      <x:c r="C58" t="str">
        <x:v>Saatenbrot</x:v>
      </x:c>
      <x:c r="D58" t="n">
        <x:v>1</x:v>
      </x:c>
      <x:c r="E58" t="str">
        <x:v>Stk.</x:v>
      </x:c>
      <x:c r="F58" s="8" t="n">
        <x:v>5.49</x:v>
      </x:c>
      <x:c r="G58" s="8" t="n">
        <x:v>-0.51</x:v>
      </x:c>
      <x:c r="H58" s="8" t="n">
        <x:v>4.98</x:v>
      </x:c>
      <x:c r="I58" s="8" t="n">
        <x:v>4.98</x:v>
      </x:c>
      <x:c r="J58" s="8" t="n">
        <x:v>0</x:v>
      </x:c>
      <x:c r="K58" t="str">
        <x:v>holiday</x:v>
      </x:c>
      <x:c r="L58" t="str"/>
    </x:row>
    <x:row r="59">
      <x:c r="A59" t="str">
        <x:v>BON-20260717-002</x:v>
      </x:c>
      <x:c r="B59" t="n">
        <x:v>8</x:v>
      </x:c>
      <x:c r="C59" t="str">
        <x:v>Hugo</x:v>
      </x:c>
      <x:c r="D59" t="n">
        <x:v>1</x:v>
      </x:c>
      <x:c r="E59" t="str">
        <x:v>Stk.</x:v>
      </x:c>
      <x:c r="F59" s="8" t="n">
        <x:v>4.87</x:v>
      </x:c>
      <x:c r="G59" s="8" t="n">
        <x:v>-0.45</x:v>
      </x:c>
      <x:c r="H59" s="8" t="n">
        <x:v>4.42</x:v>
      </x:c>
      <x:c r="I59" s="8" t="n">
        <x:v>4.42</x:v>
      </x:c>
      <x:c r="J59" s="8" t="n">
        <x:v>0</x:v>
      </x:c>
      <x:c r="K59" t="str">
        <x:v>holiday</x:v>
      </x:c>
      <x:c r="L59" t="str"/>
    </x:row>
    <x:row r="60">
      <x:c r="A60" t="str">
        <x:v>BON-20260717-002</x:v>
      </x:c>
      <x:c r="B60" t="n">
        <x:v>9</x:v>
      </x:c>
      <x:c r="C60" t="str">
        <x:v>Allgäuer Tilsiter</x:v>
      </x:c>
      <x:c r="D60" t="n">
        <x:v>1</x:v>
      </x:c>
      <x:c r="E60" t="str">
        <x:v>Stk.</x:v>
      </x:c>
      <x:c r="F60" s="8" t="n">
        <x:v>3.01</x:v>
      </x:c>
      <x:c r="G60" s="8" t="n">
        <x:v>-0.28</x:v>
      </x:c>
      <x:c r="H60" s="8" t="n">
        <x:v>2.73</x:v>
      </x:c>
      <x:c r="I60" s="8" t="n">
        <x:v>2.73</x:v>
      </x:c>
      <x:c r="J60" s="8" t="n">
        <x:v>0</x:v>
      </x:c>
      <x:c r="K60" t="str">
        <x:v>holiday</x:v>
      </x:c>
      <x:c r="L60" t="str"/>
    </x:row>
    <x:row r="61">
      <x:c r="A61" t="str">
        <x:v>BON-20260717-002</x:v>
      </x:c>
      <x:c r="B61" t="n">
        <x:v>10</x:v>
      </x:c>
      <x:c r="C61" t="str">
        <x:v>Schweizer Alpiko</x:v>
      </x:c>
      <x:c r="D61" t="n">
        <x:v>1</x:v>
      </x:c>
      <x:c r="E61" t="str">
        <x:v>Stk.</x:v>
      </x:c>
      <x:c r="F61" s="8" t="n">
        <x:v>5.92</x:v>
      </x:c>
      <x:c r="G61" s="8" t="n">
        <x:v>-0.54</x:v>
      </x:c>
      <x:c r="H61" s="8" t="n">
        <x:v>5.38</x:v>
      </x:c>
      <x:c r="I61" s="8" t="n">
        <x:v>5.38</x:v>
      </x:c>
      <x:c r="J61" s="8" t="n">
        <x:v>0</x:v>
      </x:c>
      <x:c r="K61" t="str">
        <x:v>holiday</x:v>
      </x:c>
      <x:c r="L61" t="str"/>
    </x:row>
    <x:row r="62">
      <x:c r="A62" t="str">
        <x:v>BON-20260717-002</x:v>
      </x:c>
      <x:c r="B62" t="n">
        <x:v>11</x:v>
      </x:c>
      <x:c r="C62" t="str">
        <x:v>Koriander Käse</x:v>
      </x:c>
      <x:c r="D62" t="n">
        <x:v>1</x:v>
      </x:c>
      <x:c r="E62" t="str">
        <x:v>Stk.</x:v>
      </x:c>
      <x:c r="F62" s="8" t="n">
        <x:v>5.26</x:v>
      </x:c>
      <x:c r="G62" s="8" t="n">
        <x:v>-0.48</x:v>
      </x:c>
      <x:c r="H62" s="8" t="n">
        <x:v>4.78</x:v>
      </x:c>
      <x:c r="I62" s="8" t="n">
        <x:v>4.78</x:v>
      </x:c>
      <x:c r="J62" s="8" t="n">
        <x:v>0</x:v>
      </x:c>
      <x:c r="K62" t="str">
        <x:v>holiday</x:v>
      </x:c>
      <x:c r="L62" t="str"/>
    </x:row>
    <x:row r="63">
      <x:c r="A63" t="str">
        <x:v>BON-20260717-002</x:v>
      </x:c>
      <x:c r="B63" t="n">
        <x:v>12</x:v>
      </x:c>
      <x:c r="C63" t="str">
        <x:v>Brie Petit Norma</x:v>
      </x:c>
      <x:c r="D63" t="n">
        <x:v>1</x:v>
      </x:c>
      <x:c r="E63" t="str">
        <x:v>Stk.</x:v>
      </x:c>
      <x:c r="F63" s="8" t="n">
        <x:v>3.54</x:v>
      </x:c>
      <x:c r="G63" s="8" t="n">
        <x:v>-0.33</x:v>
      </x:c>
      <x:c r="H63" s="8" t="n">
        <x:v>3.21</x:v>
      </x:c>
      <x:c r="I63" s="8" t="n">
        <x:v>3.21</x:v>
      </x:c>
      <x:c r="J63" s="8" t="n">
        <x:v>0</x:v>
      </x:c>
      <x:c r="K63" t="str">
        <x:v>holiday</x:v>
      </x:c>
      <x:c r="L63" t="str"/>
    </x:row>
    <x:row r="64">
      <x:c r="A64" t="str">
        <x:v>BON-20260717-002</x:v>
      </x:c>
      <x:c r="B64" t="n">
        <x:v>13</x:v>
      </x:c>
      <x:c r="C64" t="str">
        <x:v>Brie Petit Norma</x:v>
      </x:c>
      <x:c r="D64" t="n">
        <x:v>1</x:v>
      </x:c>
      <x:c r="E64" t="str">
        <x:v>Stk.</x:v>
      </x:c>
      <x:c r="F64" s="8" t="n">
        <x:v>3.76</x:v>
      </x:c>
      <x:c r="G64" s="8" t="n">
        <x:v>-0.35</x:v>
      </x:c>
      <x:c r="H64" s="8" t="n">
        <x:v>3.41</x:v>
      </x:c>
      <x:c r="I64" s="8" t="n">
        <x:v>3.41</x:v>
      </x:c>
      <x:c r="J64" s="8" t="n">
        <x:v>0</x:v>
      </x:c>
      <x:c r="K64" t="str">
        <x:v>holiday</x:v>
      </x:c>
      <x:c r="L64" t="str"/>
    </x:row>
    <x:row r="65">
      <x:c r="A65" t="str">
        <x:v>BON-20260717-002</x:v>
      </x:c>
      <x:c r="B65" t="n">
        <x:v>14</x:v>
      </x:c>
      <x:c r="C65" t="str">
        <x:v>Emmentaler</x:v>
      </x:c>
      <x:c r="D65" t="n">
        <x:v>1</x:v>
      </x:c>
      <x:c r="E65" t="str">
        <x:v>Stk.</x:v>
      </x:c>
      <x:c r="F65" s="8" t="n">
        <x:v>4.96</x:v>
      </x:c>
      <x:c r="G65" s="8" t="n">
        <x:v>-0.46</x:v>
      </x:c>
      <x:c r="H65" s="8" t="n">
        <x:v>4.5</x:v>
      </x:c>
      <x:c r="I65" s="8" t="n">
        <x:v>4.5</x:v>
      </x:c>
      <x:c r="J65" s="8" t="n">
        <x:v>0</x:v>
      </x:c>
      <x:c r="K65" t="str">
        <x:v>holiday</x:v>
      </x:c>
      <x:c r="L65" t="str"/>
    </x:row>
    <x:row r="66">
      <x:c r="A66" t="str">
        <x:v>BON-20260717-002</x:v>
      </x:c>
      <x:c r="B66" t="n">
        <x:v>15</x:v>
      </x:c>
      <x:c r="C66" t="str">
        <x:v>Griekenschmied</x:v>
      </x:c>
      <x:c r="D66" t="n">
        <x:v>1</x:v>
      </x:c>
      <x:c r="E66" t="str">
        <x:v>Stk.</x:v>
      </x:c>
      <x:c r="F66" s="8" t="n">
        <x:v>4.54</x:v>
      </x:c>
      <x:c r="G66" s="8" t="n">
        <x:v>-0.42</x:v>
      </x:c>
      <x:c r="H66" s="8" t="n">
        <x:v>4.12</x:v>
      </x:c>
      <x:c r="I66" s="8" t="n">
        <x:v>4.12</x:v>
      </x:c>
      <x:c r="J66" s="8" t="n">
        <x:v>0</x:v>
      </x:c>
      <x:c r="K66" t="str">
        <x:v>holiday</x:v>
      </x:c>
      <x:c r="L66" t="str"/>
    </x:row>
    <x:row r="67">
      <x:c r="A67" t="str">
        <x:v>BON-20260717-002</x:v>
      </x:c>
      <x:c r="B67" t="n">
        <x:v>16</x:v>
      </x:c>
      <x:c r="C67" t="str">
        <x:v>Rote Zwiebeln</x:v>
      </x:c>
      <x:c r="D67" t="n">
        <x:v>1</x:v>
      </x:c>
      <x:c r="E67" t="str">
        <x:v>0,546 kg</x:v>
      </x:c>
      <x:c r="F67" s="8" t="n">
        <x:v>1.63</x:v>
      </x:c>
      <x:c r="G67" s="8" t="n">
        <x:v>-0.15</x:v>
      </x:c>
      <x:c r="H67" s="8" t="n">
        <x:v>1.48</x:v>
      </x:c>
      <x:c r="I67" s="8" t="n">
        <x:v>1.48</x:v>
      </x:c>
      <x:c r="J67" s="8" t="n">
        <x:v>0</x:v>
      </x:c>
      <x:c r="K67" t="str">
        <x:v>holiday</x:v>
      </x:c>
      <x:c r="L67" t="str">
        <x:v>0,546 kg × 2,99 €/kg</x:v>
      </x:c>
    </x:row>
    <x:row r="68">
      <x:c r="A68" t="str">
        <x:v>BON-20260717-002</x:v>
      </x:c>
      <x:c r="B68" t="n">
        <x:v>17</x:v>
      </x:c>
      <x:c r="C68" t="str">
        <x:v>Salatgurke</x:v>
      </x:c>
      <x:c r="D68" t="n">
        <x:v>1</x:v>
      </x:c>
      <x:c r="E68" t="str">
        <x:v>Stk.</x:v>
      </x:c>
      <x:c r="F68" s="8" t="n">
        <x:v>1.99</x:v>
      </x:c>
      <x:c r="G68" s="8" t="n">
        <x:v>-0.18</x:v>
      </x:c>
      <x:c r="H68" s="8" t="n">
        <x:v>1.81</x:v>
      </x:c>
      <x:c r="I68" s="8" t="n">
        <x:v>1.81</x:v>
      </x:c>
      <x:c r="J68" s="8" t="n">
        <x:v>0</x:v>
      </x:c>
      <x:c r="K68" t="str">
        <x:v>holiday</x:v>
      </x:c>
      <x:c r="L68" t="str"/>
    </x:row>
    <x:row r="69">
      <x:c r="A69" t="str">
        <x:v>BON-20260717-002</x:v>
      </x:c>
      <x:c r="B69" t="n">
        <x:v>18</x:v>
      </x:c>
      <x:c r="C69" t="str">
        <x:v>Rucola-Salat</x:v>
      </x:c>
      <x:c r="D69" t="n">
        <x:v>1</x:v>
      </x:c>
      <x:c r="E69" t="str">
        <x:v>Stk.</x:v>
      </x:c>
      <x:c r="F69" s="8" t="n">
        <x:v>1.99</x:v>
      </x:c>
      <x:c r="G69" s="8" t="n">
        <x:v>-0.18</x:v>
      </x:c>
      <x:c r="H69" s="8" t="n">
        <x:v>1.81</x:v>
      </x:c>
      <x:c r="I69" s="8" t="n">
        <x:v>1.81</x:v>
      </x:c>
      <x:c r="J69" s="8" t="n">
        <x:v>0</x:v>
      </x:c>
      <x:c r="K69" t="str">
        <x:v>holiday</x:v>
      </x:c>
      <x:c r="L69" t="str"/>
    </x:row>
    <x:row r="70">
      <x:c r="A70" t="str">
        <x:v>BON-20260717-002</x:v>
      </x:c>
      <x:c r="B70" t="n">
        <x:v>19</x:v>
      </x:c>
      <x:c r="C70" t="str">
        <x:v>Radieschen</x:v>
      </x:c>
      <x:c r="D70" t="n">
        <x:v>1</x:v>
      </x:c>
      <x:c r="E70" t="str">
        <x:v>Stk.</x:v>
      </x:c>
      <x:c r="F70" s="8" t="n">
        <x:v>1.99</x:v>
      </x:c>
      <x:c r="G70" s="8" t="n">
        <x:v>-0.18</x:v>
      </x:c>
      <x:c r="H70" s="8" t="n">
        <x:v>1.81</x:v>
      </x:c>
      <x:c r="I70" s="8" t="n">
        <x:v>1.81</x:v>
      </x:c>
      <x:c r="J70" s="8" t="n">
        <x:v>0</x:v>
      </x:c>
      <x:c r="K70" t="str">
        <x:v>holiday</x:v>
      </x:c>
      <x:c r="L70" t="str"/>
    </x:row>
    <x:row r="71">
      <x:c r="A71" t="str">
        <x:v>BON-20260717-002</x:v>
      </x:c>
      <x:c r="B71" t="n">
        <x:v>20</x:v>
      </x:c>
      <x:c r="C71" t="str">
        <x:v>Ramiro Tüte</x:v>
      </x:c>
      <x:c r="D71" t="n">
        <x:v>1</x:v>
      </x:c>
      <x:c r="E71" t="str">
        <x:v>Stk.</x:v>
      </x:c>
      <x:c r="F71" s="8" t="n">
        <x:v>1.5</x:v>
      </x:c>
      <x:c r="G71" s="8" t="n">
        <x:v>-0.14</x:v>
      </x:c>
      <x:c r="H71" s="8" t="n">
        <x:v>1.36</x:v>
      </x:c>
      <x:c r="I71" s="8" t="n">
        <x:v>1.36</x:v>
      </x:c>
      <x:c r="J71" s="8" t="n">
        <x:v>0</x:v>
      </x:c>
      <x:c r="K71" t="str">
        <x:v>holiday</x:v>
      </x:c>
      <x:c r="L71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18" hidden="0" customWidth="1"/>
    <x:col min="3" max="3" width="20" hidden="0" customWidth="1"/>
    <x:col min="4" max="4" width="34" hidden="0" customWidth="1"/>
  </x:cols>
  <x:sheetData>
    <x:row r="1">
      <x:c r="A1" s="6" t="str">
        <x:v>Vorgang</x:v>
      </x:c>
      <x:c r="B1" s="6" t="str">
        <x:v>Person</x:v>
      </x:c>
      <x:c r="C1" s="6" t="str">
        <x:v>Zahlungsguthaben</x:v>
      </x:c>
      <x:c r="D1" s="6" t="str">
        <x:v>Notiz</x:v>
      </x:c>
    </x:row>
    <x:row r="2">
      <x:c r="A2" t="str">
        <x:v>BON-20260716-001</x:v>
      </x:c>
      <x:c r="B2" t="str">
        <x:v>Simon</x:v>
      </x:c>
      <x:c r="C2" s="8" t="n">
        <x:v>17.42</x:v>
      </x:c>
      <x:c r="D2" t="str">
        <x:v>Hälfte mit Rundungscent</x:v>
      </x:c>
    </x:row>
    <x:row r="3">
      <x:c r="A3" t="str">
        <x:v>BON-20260716-001</x:v>
      </x:c>
      <x:c r="B3" t="str">
        <x:v>Katrin</x:v>
      </x:c>
      <x:c r="C3" s="8" t="n">
        <x:v>17.41</x:v>
      </x:c>
      <x:c r="D3" t="str"/>
    </x:row>
    <x:row r="4">
      <x:c r="A4" t="str">
        <x:v>BON-20260716-002</x:v>
      </x:c>
      <x:c r="B4" t="str">
        <x:v>Simon</x:v>
      </x:c>
      <x:c r="C4" s="8" t="n">
        <x:v>6.41</x:v>
      </x:c>
      <x:c r="D4" t="str"/>
    </x:row>
    <x:row r="5">
      <x:c r="A5" t="str">
        <x:v>BON-20260716-002</x:v>
      </x:c>
      <x:c r="B5" t="str">
        <x:v>Katrin</x:v>
      </x:c>
      <x:c r="C5" s="8" t="n">
        <x:v>6.41</x:v>
      </x:c>
      <x:c r="D5" t="str"/>
    </x:row>
    <x:row r="6">
      <x:c r="A6" t="str">
        <x:v>GUT-20260716-001</x:v>
      </x:c>
      <x:c r="B6" t="str">
        <x:v>Simon</x:v>
      </x:c>
      <x:c r="C6" s="8" t="n">
        <x:v>-1.81</x:v>
      </x:c>
      <x:c r="D6" t="str">
        <x:v>Rundungscent</x:v>
      </x:c>
    </x:row>
    <x:row r="7">
      <x:c r="A7" t="str">
        <x:v>GUT-20260716-001</x:v>
      </x:c>
      <x:c r="B7" t="str">
        <x:v>Katrin</x:v>
      </x:c>
      <x:c r="C7" s="8" t="n">
        <x:v>-1.8</x:v>
      </x:c>
      <x:c r="D7" t="str"/>
    </x:row>
    <x:row r="8">
      <x:c r="A8" t="str">
        <x:v>BON-20260717-001</x:v>
      </x:c>
      <x:c r="B8" t="str">
        <x:v>Simon</x:v>
      </x:c>
      <x:c r="C8" s="8" t="n">
        <x:v>25</x:v>
      </x:c>
      <x:c r="D8" t="str"/>
    </x:row>
    <x:row r="9">
      <x:c r="A9" t="str">
        <x:v>BON-20260717-002</x:v>
      </x:c>
      <x:c r="B9" t="str">
        <x:v>Simon</x:v>
      </x:c>
      <x:c r="C9" s="8" t="n">
        <x:v>34.72</x:v>
      </x:c>
      <x:c r="D9" t="str"/>
    </x:row>
    <x:row r="10">
      <x:c r="A10" t="str">
        <x:v>BON-20260717-002</x:v>
      </x:c>
      <x:c r="B10" t="str">
        <x:v>Katrin</x:v>
      </x:c>
      <x:c r="C10" s="8" t="n">
        <x:v>34.72</x:v>
      </x:c>
      <x:c r="D10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6" t="str">
        <x:v>Person</x:v>
      </x:c>
      <x:c r="B1" s="6" t="str">
        <x:v>Kostenanteil</x:v>
      </x:c>
      <x:c r="C1" s="6" t="str">
        <x:v>Belastung</x:v>
      </x:c>
      <x:c r="D1" s="6" t="str">
        <x:v>Zahlungsguthaben</x:v>
      </x:c>
      <x:c r="E1" s="6" t="str">
        <x:v>Saldo</x:v>
      </x:c>
    </x:row>
    <x:row r="2">
      <x:c r="A2" t="str">
        <x:v>Simon</x:v>
      </x:c>
      <x:c r="B2" s="24" t="n">
        <x:v>0.25</x:v>
      </x:c>
      <x:c r="C2" s="8" t="n">
        <x:f>'Übersicht'!$B$6*B2</x:f>
        <x:v>34.62</x:v>
      </x:c>
      <x:c r="D2" s="8" t="n">
        <x:f>SUMIF(Zahlungen!$B$2:$B$100,A2,Zahlungen!$C$2:$C$100)</x:f>
        <x:v>81.74000000000001</x:v>
      </x:c>
      <x:c r="E2" s="8" t="n">
        <x:f>D2-C2</x:f>
        <x:v>47.12000000000001</x:v>
      </x:c>
    </x:row>
    <x:row r="3">
      <x:c r="A3" t="str">
        <x:v>Katrin</x:v>
      </x:c>
      <x:c r="B3" s="24" t="n">
        <x:v>0.25</x:v>
      </x:c>
      <x:c r="C3" s="8" t="n">
        <x:f>'Übersicht'!$B$6*B3</x:f>
        <x:v>34.62</x:v>
      </x:c>
      <x:c r="D3" s="8" t="n">
        <x:f>SUMIF(Zahlungen!$B$2:$B$100,A3,Zahlungen!$C$2:$C$100)</x:f>
        <x:v>56.739999999999995</x:v>
      </x:c>
      <x:c r="E3" s="8" t="n">
        <x:f>D3-C3</x:f>
        <x:v>22.119999999999997</x:v>
      </x:c>
    </x:row>
    <x:row r="4">
      <x:c r="A4" t="str">
        <x:v>Onkel</x:v>
      </x:c>
      <x:c r="B4" s="24" t="n">
        <x:v>0.25</x:v>
      </x:c>
      <x:c r="C4" s="8" t="n">
        <x:f>'Übersicht'!$B$6*B4</x:f>
        <x:v>34.62</x:v>
      </x:c>
      <x:c r="D4" s="8" t="n">
        <x:f>SUMIF(Zahlungen!$B$2:$B$100,A4,Zahlungen!$C$2:$C$100)</x:f>
        <x:v>0</x:v>
      </x:c>
      <x:c r="E4" s="8" t="n">
        <x:f>D4-C4</x:f>
        <x:v>-34.62</x:v>
      </x:c>
    </x:row>
    <x:row r="5">
      <x:c r="A5" t="str">
        <x:v>Tante</x:v>
      </x:c>
      <x:c r="B5" s="24" t="n">
        <x:v>0.25</x:v>
      </x:c>
      <x:c r="C5" s="8" t="n">
        <x:f>'Übersicht'!$B$6*B5</x:f>
        <x:v>34.62</x:v>
      </x:c>
      <x:c r="D5" s="8" t="n">
        <x:f>SUMIF(Zahlungen!$B$2:$B$100,A5,Zahlungen!$C$2:$C$100)</x:f>
        <x:v>0</x:v>
      </x:c>
      <x:c r="E5" s="8" t="n">
        <x:f>D5-C5</x:f>
        <x:v>-34.62</x:v>
      </x:c>
    </x:row>
    <x:row r="6">
      <x:c r="A6" t="str">
        <x:v>Oma</x:v>
      </x:c>
      <x:c r="B6" s="24" t="n">
        <x:v>0</x:v>
      </x:c>
      <x:c r="C6" s="8" t="n">
        <x:f>'Übersicht'!$B$6*B6</x:f>
        <x:v>0</x:v>
      </x:c>
      <x:c r="D6" s="8" t="n">
        <x:f>SUMIF(Zahlungen!$B$2:$B$100,A6,Zahlungen!$C$2:$C$100)</x:f>
        <x:v>0</x:v>
      </x:c>
      <x:c r="E6" s="8" t="n">
        <x:f>D6-C6</x:f>
        <x:v>0</x:v>
      </x:c>
    </x:row>
    <x:row r="7">
      <x:c r="A7" t="str">
        <x:v>Großvater</x:v>
      </x:c>
      <x:c r="B7" s="24" t="n">
        <x:v>0</x:v>
      </x:c>
      <x:c r="C7" s="8" t="n">
        <x:f>'Übersicht'!$B$6*B7</x:f>
        <x:v>0</x:v>
      </x:c>
      <x:c r="D7" s="8" t="n">
        <x:f>SUMIF(Zahlungen!$B$2:$B$100,A7,Zahlungen!$C$2:$C$100)</x:f>
        <x:v>0</x:v>
      </x:c>
      <x:c r="E7" s="8" t="n">
        <x:f>D7-C7</x:f>
        <x:v>0</x:v>
      </x:c>
    </x:row>
    <x:row r="10">
      <x:c r="A10" s="6" t="str">
        <x:v>Zahler</x:v>
      </x:c>
      <x:c r="B10" s="6" t="str">
        <x:v>Empfänger</x:v>
      </x:c>
      <x:c r="C10" s="6" t="str">
        <x:v>Betrag</x:v>
      </x:c>
    </x:row>
    <x:row r="11">
      <x:c r="A11" t="str">
        <x:v>Onkel</x:v>
      </x:c>
      <x:c r="B11" t="str">
        <x:v>Simon</x:v>
      </x:c>
      <x:c r="C11" s="8" t="n">
        <x:v>34.62</x:v>
      </x:c>
    </x:row>
    <x:row r="12">
      <x:c r="A12" t="str">
        <x:v>Tante</x:v>
      </x:c>
      <x:c r="B12" t="str">
        <x:v>Simon</x:v>
      </x:c>
      <x:c r="C12" s="8" t="n">
        <x:v>12.5</x:v>
      </x:c>
    </x:row>
    <x:row r="13">
      <x:c r="A13" t="str">
        <x:v>Tante</x:v>
      </x:c>
      <x:c r="B13" t="str">
        <x:v>Katrin</x:v>
      </x:c>
      <x:c r="C13" s="8" t="n">
        <x:v>22.12</x:v>
      </x:c>
    </x:row>
  </x:sheetData>
  <x:pageMargins left="0.7" right="0.7" top="0.75" bottom="0.75" header="0.3" footer="0.3"/>
</x:worksheet>
</file>