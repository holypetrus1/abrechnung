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d98b8f0b9d49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c845dd8cea184957"/>
    <x:sheet xmlns:r="http://schemas.openxmlformats.org/officeDocument/2006/relationships" name="Vorgänge" sheetId="2" r:id="Rb4e325f850fa48d0"/>
    <x:sheet xmlns:r="http://schemas.openxmlformats.org/officeDocument/2006/relationships" name="Kostenblöcke" sheetId="3" r:id="R4923029218df4408"/>
    <x:sheet xmlns:r="http://schemas.openxmlformats.org/officeDocument/2006/relationships" name="Positionen" sheetId="4" r:id="Ra0a71dfd693645d4"/>
    <x:sheet xmlns:r="http://schemas.openxmlformats.org/officeDocument/2006/relationships" name="Zahlungen" sheetId="5" r:id="Rb92fc9354cb54170"/>
    <x:sheet xmlns:r="http://schemas.openxmlformats.org/officeDocument/2006/relationships" name="Salden" sheetId="6" r:id="Re8a92ca6b67a4b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 [$€-de-DE]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F37"/>
      </x:patternFill>
    </x:fill>
    <x:fill>
      <x:patternFill patternType="solid">
        <x:fgColor rgb="FFDCEAE5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167A5B"/>
      </x:font>
    </x:dxf>
    <x:dxf>
      <x:font>
        <x:b/>
        <x:color rgb="FFA3473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29a64566984783" /><Relationship Type="http://schemas.openxmlformats.org/officeDocument/2006/relationships/theme" Target="/xl/theme/theme1.xml" Id="R9748c865525f4d7b" /><Relationship Type="http://schemas.openxmlformats.org/officeDocument/2006/relationships/sharedStrings" Target="/xl/sharedStrings.xml" Id="Rc30bf21d065f462d" /><Relationship Type="http://schemas.openxmlformats.org/officeDocument/2006/relationships/worksheet" Target="/xl/worksheets/sheet1.xml" Id="Rc845dd8cea184957" /><Relationship Type="http://schemas.openxmlformats.org/officeDocument/2006/relationships/worksheet" Target="/xl/worksheets/sheet2.xml" Id="Rb4e325f850fa48d0" /><Relationship Type="http://schemas.openxmlformats.org/officeDocument/2006/relationships/worksheet" Target="/xl/worksheets/sheet3.xml" Id="R4923029218df4408" /><Relationship Type="http://schemas.openxmlformats.org/officeDocument/2006/relationships/worksheet" Target="/xl/worksheets/sheet4.xml" Id="Ra0a71dfd693645d4" /><Relationship Type="http://schemas.openxmlformats.org/officeDocument/2006/relationships/worksheet" Target="/xl/worksheets/sheet5.xml" Id="Rb92fc9354cb54170" /><Relationship Type="http://schemas.openxmlformats.org/officeDocument/2006/relationships/worksheet" Target="/xl/worksheets/sheet6.xml" Id="Re8a92ca6b67a4b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31" hidden="0" customWidth="1"/>
    <x:col min="3" max="3" width="14" hidden="0" customWidth="1"/>
    <x:col min="4" max="4" width="16" hidden="0" customWidth="1"/>
    <x:col min="5" max="5" width="17" hidden="0" customWidth="1"/>
    <x:col min="6" max="6" width="24" hidden="0" customWidth="1"/>
    <x:col min="7" max="7" width="28" hidden="0" customWidth="1"/>
    <x:col min="8" max="8" width="22" hidden="0" customWidth="1"/>
  </x:cols>
  <x:sheetData>
    <x:row r="1">
      <x:c r="A1" s="16" t="str">
        <x:v>Urlaubskasse Woche 1</x:v>
      </x:c>
      <x:c r="B1" s="16"/>
      <x:c r="C1" s="16"/>
      <x:c r="D1" s="16"/>
      <x:c r="E1" s="16"/>
      <x:c r="F1" s="16"/>
      <x:c r="G1" s="16"/>
      <x:c r="H1" s="16"/>
    </x:row>
    <x:row r="2">
      <x:c r="A2" s="17"/>
      <x:c r="B2" s="17"/>
      <x:c r="C2" s="17"/>
      <x:c r="D2" s="17"/>
      <x:c r="E2" s="17"/>
      <x:c r="F2" s="17"/>
      <x:c r="G2" s="17"/>
      <x:c r="H2" s="17"/>
    </x:row>
    <x:row r="3">
      <x:c r="A3" s="18" t="str">
        <x:v>Kennzahl</x:v>
      </x:c>
      <x:c r="B3" s="18" t="str">
        <x:v>Wert</x:v>
      </x:c>
      <x:c r="C3" s="17"/>
      <x:c r="D3" s="18" t="str">
        <x:v>Zahler</x:v>
      </x:c>
      <x:c r="E3" s="18" t="str">
        <x:v>Empfänger</x:v>
      </x:c>
      <x:c r="F3" s="18" t="str">
        <x:v>Betrag</x:v>
      </x:c>
      <x:c r="G3" s="17"/>
      <x:c r="H3" s="17"/>
    </x:row>
    <x:row r="4">
      <x:c r="A4" s="17" t="str">
        <x:v>Stand</x:v>
      </x:c>
      <x:c r="B4" s="17" t="str">
        <x:v>21.07.2026, 14:43</x:v>
      </x:c>
      <x:c r="C4" s="17"/>
      <x:c r="D4" s="17" t="str">
        <x:v>Katrin</x:v>
      </x:c>
      <x:c r="E4" s="17" t="str">
        <x:v>Simon</x:v>
      </x:c>
      <x:c r="F4" s="19" t="n">
        <x:v>47.73</x:v>
      </x:c>
      <x:c r="G4" s="17"/>
      <x:c r="H4" s="17"/>
    </x:row>
    <x:row r="5">
      <x:c r="A5" s="17" t="str">
        <x:v>Wochenstatus</x:v>
      </x:c>
      <x:c r="B5" s="17" t="str">
        <x:v>Woche 1 offen</x:v>
      </x:c>
      <x:c r="C5" s="17"/>
      <x:c r="D5" s="17" t="str">
        <x:v>Onkel</x:v>
      </x:c>
      <x:c r="E5" s="17" t="str">
        <x:v>Simon</x:v>
      </x:c>
      <x:c r="F5" s="19" t="n">
        <x:v>133.18</x:v>
      </x:c>
      <x:c r="G5" s="17"/>
      <x:c r="H5" s="17"/>
    </x:row>
    <x:row r="6">
      <x:c r="A6" s="17" t="str">
        <x:v>Verrechnete Ausgaben</x:v>
      </x:c>
      <x:c r="B6" s="19" t="n">
        <x:v>561.32</x:v>
      </x:c>
      <x:c r="C6" s="17"/>
      <x:c r="D6" s="17" t="str">
        <x:v>Tante</x:v>
      </x:c>
      <x:c r="E6" s="17" t="str">
        <x:v>Simon</x:v>
      </x:c>
      <x:c r="F6" s="19" t="n">
        <x:v>133.15</x:v>
      </x:c>
      <x:c r="G6" s="17"/>
      <x:c r="H6" s="17"/>
    </x:row>
    <x:row r="7">
      <x:c r="A7" s="17" t="str">
        <x:v>Davon Gemeinschaft</x:v>
      </x:c>
      <x:c r="B7" s="19" t="n">
        <x:v>522.73</x:v>
      </x:c>
      <x:c r="C7" s="17"/>
      <x:c r="D7" s="17"/>
      <x:c r="E7" s="17"/>
      <x:c r="F7" s="17"/>
      <x:c r="G7" s="17"/>
      <x:c r="H7" s="17"/>
    </x:row>
    <x:row r="8">
      <x:c r="A8" s="17" t="str">
        <x:v>Abweichende Kostenblöcke</x:v>
      </x:c>
      <x:c r="B8" s="19" t="n">
        <x:v>38.59</x:v>
      </x:c>
      <x:c r="C8" s="17"/>
      <x:c r="D8" s="17"/>
      <x:c r="E8" s="17"/>
      <x:c r="F8" s="17"/>
      <x:c r="G8" s="17"/>
      <x:c r="H8" s="17"/>
    </x:row>
    <x:row r="9">
      <x:c r="A9" s="17" t="str">
        <x:v>Ausgeschlossen</x:v>
      </x:c>
      <x:c r="B9" s="19" t="n">
        <x:v>57.97</x:v>
      </x:c>
      <x:c r="C9" s="17"/>
      <x:c r="D9" s="17"/>
      <x:c r="E9" s="17"/>
      <x:c r="F9" s="17"/>
      <x:c r="G9" s="17"/>
      <x:c r="H9" s="17"/>
    </x:row>
    <x:row r="10">
      <x:c r="A10" s="17"/>
      <x:c r="B10" s="17"/>
      <x:c r="C10" s="17"/>
      <x:c r="D10" s="17"/>
      <x:c r="E10" s="17"/>
      <x:c r="F10" s="17"/>
      <x:c r="G10" s="17"/>
      <x:c r="H10" s="17"/>
    </x:row>
    <x:row r="11">
      <x:c r="A11" s="17"/>
      <x:c r="B11" s="17"/>
      <x:c r="C11" s="17"/>
      <x:c r="D11" s="17"/>
      <x:c r="E11" s="17"/>
      <x:c r="F11" s="17"/>
      <x:c r="G11" s="17"/>
      <x:c r="H11" s="17"/>
    </x:row>
    <x:row r="12">
      <x:c r="A12" s="20" t="str">
        <x:v>Zuletzt ergänzt</x:v>
      </x:c>
      <x:c r="B12" s="20"/>
      <x:c r="C12" s="20"/>
      <x:c r="D12" s="20"/>
      <x:c r="E12" s="20"/>
      <x:c r="F12" s="20"/>
      <x:c r="G12" s="20"/>
      <x:c r="H12" s="20"/>
    </x:row>
    <x:row r="13">
      <x:c r="A13" s="18" t="str">
        <x:v>Datum</x:v>
      </x:c>
      <x:c r="B13" s="18" t="str">
        <x:v>Händler</x:v>
      </x:c>
      <x:c r="C13" s="18" t="str">
        <x:v>Beleg</x:v>
      </x:c>
      <x:c r="D13" s="18" t="str">
        <x:v>Gemeinschaft</x:v>
      </x:c>
      <x:c r="E13" s="18" t="str">
        <x:v>Andere Gruppe</x:v>
      </x:c>
      <x:c r="F13" s="18" t="str">
        <x:v>Zahlung</x:v>
      </x:c>
      <x:c r="G13" s="18" t="str">
        <x:v>Hinweis</x:v>
      </x:c>
      <x:c r="H13" s="18" t="str">
        <x:v>Vorgang</x:v>
      </x:c>
    </x:row>
    <x:row r="14">
      <x:c r="A14" s="17" t="str">
        <x:v>20.07.2026</x:v>
      </x:c>
      <x:c r="B14" s="17" t="str">
        <x:v>Gut Kerkow Fleischmanufaktur</x:v>
      </x:c>
      <x:c r="C14" s="19" t="n">
        <x:v>116.22</x:v>
      </x:c>
      <x:c r="D14" s="19" t="n">
        <x:v>82.62</x:v>
      </x:c>
      <x:c r="E14" s="19" t="n">
        <x:v>33.6</x:v>
      </x:c>
      <x:c r="F14" s="17" t="str">
        <x:v>Simon</x:v>
      </x:c>
      <x:c r="G14" s="17" t="str">
        <x:v>Säfte/Pfand nur Katrin</x:v>
      </x:c>
      <x:c r="H14" s="17" t="str">
        <x:v>BON-20260720-001</x:v>
      </x:c>
    </x:row>
    <x:row r="15">
      <x:c r="A15" s="17" t="str">
        <x:v>20.07.2026</x:v>
      </x:c>
      <x:c r="B15" s="17" t="str">
        <x:v>Lidl Angermünde</x:v>
      </x:c>
      <x:c r="C15" s="19" t="n">
        <x:v>128.8</x:v>
      </x:c>
      <x:c r="D15" s="19" t="n">
        <x:v>123.81</x:v>
      </x:c>
      <x:c r="E15" s="19" t="n">
        <x:v>4.99</x:v>
      </x:c>
      <x:c r="F15" s="17" t="str">
        <x:v>Simon</x:v>
      </x:c>
      <x:c r="G15" s="17" t="str">
        <x:v>Always nur Onkel/Tante</x:v>
      </x:c>
      <x:c r="H15" s="17" t="str">
        <x:v>BON-20260720-002</x:v>
      </x:c>
    </x:row>
    <x:row r="16">
      <x:c r="A16" s="17" t="str">
        <x:v>20.07.2026</x:v>
      </x:c>
      <x:c r="B16" s="17" t="str">
        <x:v>REWE Angermünde</x:v>
      </x:c>
      <x:c r="C16" s="19" t="n">
        <x:v>48.16</x:v>
      </x:c>
      <x:c r="D16" s="19" t="n">
        <x:v>48.16</x:v>
      </x:c>
      <x:c r="E16" s="19" t="n">
        <x:v>0</x:v>
      </x:c>
      <x:c r="F16" s="17" t="str">
        <x:v>Simon</x:v>
      </x:c>
      <x:c r="G16" s="17" t="str">
        <x:v>Keine Ausnahmen</x:v>
      </x:c>
      <x:c r="H16" s="17" t="str">
        <x:v>BON-20260720-003</x:v>
      </x:c>
    </x:row>
    <x:row r="17">
      <x:c r="A17" s="17" t="str">
        <x:v>20.07.2026</x:v>
      </x:c>
      <x:c r="B17" s="17" t="str">
        <x:v>Gut Kerkow Bauernmarkt</x:v>
      </x:c>
      <x:c r="C17" s="19" t="n">
        <x:v>48.23</x:v>
      </x:c>
      <x:c r="D17" s="19" t="n">
        <x:v>48.23</x:v>
      </x:c>
      <x:c r="E17" s="19" t="n">
        <x:v>0</x:v>
      </x:c>
      <x:c r="F17" s="17" t="str">
        <x:v>Gemeinschaftskonto</x:v>
      </x:c>
      <x:c r="G17" s="17" t="str">
        <x:v>Keine Detailpositionen</x:v>
      </x:c>
      <x:c r="H17" s="17" t="str">
        <x:v>AUS-20260720-001</x:v>
      </x:c>
    </x:row>
    <x:row r="18">
      <x:c r="A18" s="17"/>
      <x:c r="B18" s="17"/>
      <x:c r="C18" s="17"/>
      <x:c r="D18" s="17"/>
      <x:c r="E18" s="17"/>
      <x:c r="F18" s="17"/>
      <x:c r="G18" s="17"/>
      <x:c r="H18" s="17"/>
    </x:row>
    <x:row r="19">
      <x:c r="A19" s="17"/>
      <x:c r="B19" s="17"/>
      <x:c r="C19" s="17"/>
      <x:c r="D19" s="17"/>
      <x:c r="E19" s="17"/>
      <x:c r="F19" s="17"/>
      <x:c r="G19" s="17"/>
      <x:c r="H19" s="17"/>
    </x:row>
    <x:row r="20">
      <x:c r="A20" s="17"/>
      <x:c r="B20" s="17"/>
      <x:c r="C20" s="17"/>
      <x:c r="D20" s="17"/>
      <x:c r="E20" s="17"/>
      <x:c r="F20" s="17"/>
      <x:c r="G20" s="17"/>
      <x:c r="H20" s="17"/>
    </x:row>
    <x:row r="21">
      <x:c r="A21" s="17"/>
      <x:c r="B21" s="17"/>
      <x:c r="C21" s="17"/>
      <x:c r="D21" s="17"/>
      <x:c r="E21" s="17"/>
      <x:c r="F21" s="17"/>
      <x:c r="G21" s="17"/>
      <x:c r="H21" s="17"/>
    </x:row>
    <x:row r="22">
      <x:c r="A22" s="17"/>
      <x:c r="B22" s="17"/>
      <x:c r="C22" s="17"/>
      <x:c r="D22" s="17"/>
      <x:c r="E22" s="17"/>
      <x:c r="F22" s="17"/>
      <x:c r="G22" s="17"/>
      <x:c r="H22" s="17"/>
    </x:row>
    <x:row r="23">
      <x:c r="A23" s="17"/>
      <x:c r="B23" s="17"/>
      <x:c r="C23" s="17"/>
      <x:c r="D23" s="17"/>
      <x:c r="E23" s="17"/>
      <x:c r="F23" s="17"/>
      <x:c r="G23" s="17"/>
      <x:c r="H23" s="17"/>
    </x:row>
    <x:row r="24">
      <x:c r="A24" s="17"/>
      <x:c r="B24" s="17"/>
      <x:c r="C24" s="17"/>
      <x:c r="D24" s="17"/>
      <x:c r="E24" s="17"/>
      <x:c r="F24" s="17"/>
      <x:c r="G24" s="17"/>
      <x:c r="H24" s="17"/>
    </x:row>
    <x:row r="25">
      <x:c r="A25" s="17"/>
      <x:c r="B25" s="17"/>
      <x:c r="C25" s="17"/>
      <x:c r="D25" s="17"/>
      <x:c r="E25" s="17"/>
      <x:c r="F25" s="17"/>
      <x:c r="G25" s="17"/>
      <x:c r="H25" s="17"/>
    </x:row>
  </x:sheetData>
  <x:mergeCells>
    <x:mergeCell ref="A1:H1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3" hidden="0" customWidth="1"/>
    <x:col min="3" max="3" width="32" hidden="0" customWidth="1"/>
    <x:col min="4" max="4" width="15" hidden="0" customWidth="1"/>
    <x:col min="5" max="5" width="16" hidden="0" customWidth="1"/>
    <x:col min="6" max="6" width="17" hidden="0" customWidth="1"/>
    <x:col min="7" max="7" width="16" hidden="0" customWidth="1"/>
    <x:col min="8" max="8" width="15" hidden="0" customWidth="1"/>
    <x:col min="9" max="9" width="34" hidden="0" customWidth="1"/>
    <x:col min="10" max="10" width="18" hidden="0" customWidth="1"/>
  </x:cols>
  <x:sheetData>
    <x:row r="1">
      <x:c r="A1" s="18" t="str">
        <x:v>Vorgang</x:v>
      </x:c>
      <x:c r="B1" s="18" t="str">
        <x:v>Datum</x:v>
      </x:c>
      <x:c r="C1" s="18" t="str">
        <x:v>Händler</x:v>
      </x:c>
      <x:c r="D1" s="18" t="str">
        <x:v>Belegsumme</x:v>
      </x:c>
      <x:c r="E1" s="18" t="str">
        <x:v>Gemeinschaft</x:v>
      </x:c>
      <x:c r="F1" s="18" t="str">
        <x:v>Andere Gruppen</x:v>
      </x:c>
      <x:c r="G1" s="18" t="str">
        <x:v>Ausgeschlossen</x:v>
      </x:c>
      <x:c r="H1" s="18" t="str">
        <x:v>Verrechnet</x:v>
      </x:c>
      <x:c r="I1" s="18" t="str">
        <x:v>Zahlungsquelle</x:v>
      </x:c>
      <x:c r="J1" s="18" t="str">
        <x:v>Status</x:v>
      </x:c>
    </x:row>
    <x:row r="2">
      <x:c r="A2" t="str">
        <x:v>BON-20260716-001</x:v>
      </x:c>
      <x:c r="B2" t="str">
        <x:v>2026-07-16</x:v>
      </x:c>
      <x:c r="C2" t="str">
        <x:v>Kaufland</x:v>
      </x:c>
      <x:c r="D2" s="10" t="n">
        <x:v>63.28</x:v>
      </x:c>
      <x:c r="E2" s="10" t="n">
        <x:v>34.83</x:v>
      </x:c>
      <x:c r="F2" s="10" t="n">
        <x:v>0</x:v>
      </x:c>
      <x:c r="G2" s="10" t="n">
        <x:v>28.45</x:v>
      </x:c>
      <x:c r="H2" s="10" t="n">
        <x:v>34.83</x:v>
      </x:c>
      <x:c r="I2" t="str">
        <x:v>Gemeinschaftskonto Katrin &amp; Simon</x:v>
      </x:c>
      <x:c r="J2" t="str">
        <x:v>corrected</x:v>
      </x:c>
    </x:row>
    <x:row r="3">
      <x:c r="A3" t="str">
        <x:v>BON-20260716-002</x:v>
      </x:c>
      <x:c r="B3" t="str">
        <x:v>2026-07-16</x:v>
      </x:c>
      <x:c r="C3" t="str">
        <x:v>BIO COMPANY via Wolt</x:v>
      </x:c>
      <x:c r="D3" s="10" t="n">
        <x:v>38.37</x:v>
      </x:c>
      <x:c r="E3" s="10" t="n">
        <x:v>12.82</x:v>
      </x:c>
      <x:c r="F3" s="10" t="n">
        <x:v>0</x:v>
      </x:c>
      <x:c r="G3" s="10" t="n">
        <x:v>25.55</x:v>
      </x:c>
      <x:c r="H3" s="10" t="n">
        <x:v>12.82</x:v>
      </x:c>
      <x:c r="I3" t="str">
        <x:v>Gemeinschaftskonto Katrin &amp; Simon</x:v>
      </x:c>
      <x:c r="J3" t="str">
        <x:v>active</x:v>
      </x:c>
    </x:row>
    <x:row r="4">
      <x:c r="A4" t="str">
        <x:v>GUT-20260716-001</x:v>
      </x:c>
      <x:c r="B4" t="str">
        <x:v>2026-07-16</x:v>
      </x:c>
      <x:c r="C4" t="str">
        <x:v>Wolt / BIO COMPANY</x:v>
      </x:c>
      <x:c r="D4" s="10" t="n">
        <x:v>-3.61</x:v>
      </x:c>
      <x:c r="E4" s="10" t="n">
        <x:v>-3.61</x:v>
      </x:c>
      <x:c r="F4" s="10" t="n">
        <x:v>0</x:v>
      </x:c>
      <x:c r="G4" s="10" t="n">
        <x:v>0</x:v>
      </x:c>
      <x:c r="H4" s="10" t="n">
        <x:v>-3.61</x:v>
      </x:c>
      <x:c r="I4" t="str">
        <x:v>Gemeinschaftskonto Katrin &amp; Simon</x:v>
      </x:c>
      <x:c r="J4" t="str">
        <x:v>active</x:v>
      </x:c>
    </x:row>
    <x:row r="5">
      <x:c r="A5" t="str">
        <x:v>BON-20260717-001</x:v>
      </x:c>
      <x:c r="B5" t="str">
        <x:v>2026-07-17</x:v>
      </x:c>
      <x:c r="C5" t="str">
        <x:v>Barracuda Fisch</x:v>
      </x:c>
      <x:c r="D5" s="10" t="n">
        <x:v>25</x:v>
      </x:c>
      <x:c r="E5" s="10" t="n">
        <x:v>25</x:v>
      </x:c>
      <x:c r="F5" s="10" t="n">
        <x:v>0</x:v>
      </x:c>
      <x:c r="G5" s="10" t="n">
        <x:v>0</x:v>
      </x:c>
      <x:c r="H5" s="10" t="n">
        <x:v>25</x:v>
      </x:c>
      <x:c r="I5" t="str">
        <x:v>Simon</x:v>
      </x:c>
      <x:c r="J5" t="str">
        <x:v>pending_receipt</x:v>
      </x:c>
    </x:row>
    <x:row r="6">
      <x:c r="A6" t="str">
        <x:v>BON-20260717-002</x:v>
      </x:c>
      <x:c r="B6" t="str">
        <x:v>2026-07-17</x:v>
      </x:c>
      <x:c r="C6" t="str">
        <x:v>BIO COMPANY Rathauscenter</x:v>
      </x:c>
      <x:c r="D6" s="10" t="n">
        <x:v>73.41</x:v>
      </x:c>
      <x:c r="E6" s="10" t="n">
        <x:v>69.44</x:v>
      </x:c>
      <x:c r="F6" s="10" t="n">
        <x:v>0</x:v>
      </x:c>
      <x:c r="G6" s="10" t="n">
        <x:v>3.97</x:v>
      </x:c>
      <x:c r="H6" s="10" t="n">
        <x:v>69.44</x:v>
      </x:c>
      <x:c r="I6" t="str">
        <x:v>Gemeinschaftskonto Katrin &amp; Simon</x:v>
      </x:c>
      <x:c r="J6" t="str">
        <x:v>active</x:v>
      </x:c>
    </x:row>
    <x:row r="7">
      <x:c r="A7" t="str">
        <x:v>BON-20260718-001</x:v>
      </x:c>
      <x:c r="B7" t="str">
        <x:v>2026-07-18</x:v>
      </x:c>
      <x:c r="C7" t="str">
        <x:v>Netto Marken-Discount</x:v>
      </x:c>
      <x:c r="D7" s="10" t="n">
        <x:v>71.43</x:v>
      </x:c>
      <x:c r="E7" s="10" t="n">
        <x:v>71.43</x:v>
      </x:c>
      <x:c r="F7" s="10" t="n">
        <x:v>0</x:v>
      </x:c>
      <x:c r="G7" s="10" t="n">
        <x:v>0</x:v>
      </x:c>
      <x:c r="H7" s="10" t="n">
        <x:v>71.43</x:v>
      </x:c>
      <x:c r="I7" t="str">
        <x:v>Gemeinschaftskonto Katrin &amp; Simon</x:v>
      </x:c>
      <x:c r="J7" t="str">
        <x:v>active</x:v>
      </x:c>
    </x:row>
    <x:row r="8">
      <x:c r="A8" t="str">
        <x:v>AUS-20260718-001</x:v>
      </x:c>
      <x:c r="B8" t="str">
        <x:v>2026-07-18</x:v>
      </x:c>
      <x:c r="C8" t="str">
        <x:v>Hofladen Marmelade &amp; more</x:v>
      </x:c>
      <x:c r="D8" s="10" t="n">
        <x:v>10</x:v>
      </x:c>
      <x:c r="E8" s="10" t="n">
        <x:v>10</x:v>
      </x:c>
      <x:c r="F8" s="10" t="n">
        <x:v>0</x:v>
      </x:c>
      <x:c r="G8" s="10" t="n">
        <x:v>0</x:v>
      </x:c>
      <x:c r="H8" s="10" t="n">
        <x:v>10</x:v>
      </x:c>
      <x:c r="I8" t="str">
        <x:v>Simon</x:v>
      </x:c>
      <x:c r="J8" t="str">
        <x:v>active</x:v>
      </x:c>
    </x:row>
    <x:row r="9">
      <x:c r="A9" t="str">
        <x:v>BON-20260720-001</x:v>
      </x:c>
      <x:c r="B9" t="str">
        <x:v>2026-07-20</x:v>
      </x:c>
      <x:c r="C9" t="str">
        <x:v>Gut Kerkow Fleischmanufaktur</x:v>
      </x:c>
      <x:c r="D9" s="10" t="n">
        <x:v>116.22</x:v>
      </x:c>
      <x:c r="E9" s="10" t="n">
        <x:v>82.62</x:v>
      </x:c>
      <x:c r="F9" s="10" t="n">
        <x:v>33.6</x:v>
      </x:c>
      <x:c r="G9" s="10" t="n">
        <x:v>0</x:v>
      </x:c>
      <x:c r="H9" s="10" t="n">
        <x:v>116.22</x:v>
      </x:c>
      <x:c r="I9" t="str">
        <x:v>Simon</x:v>
      </x:c>
      <x:c r="J9" t="str">
        <x:v>active</x:v>
      </x:c>
    </x:row>
    <x:row r="10">
      <x:c r="A10" t="str">
        <x:v>BON-20260720-002</x:v>
      </x:c>
      <x:c r="B10" t="str">
        <x:v>2026-07-20</x:v>
      </x:c>
      <x:c r="C10" t="str">
        <x:v>Lidl Angermünde</x:v>
      </x:c>
      <x:c r="D10" s="10" t="n">
        <x:v>128.8</x:v>
      </x:c>
      <x:c r="E10" s="10" t="n">
        <x:v>123.81</x:v>
      </x:c>
      <x:c r="F10" s="10" t="n">
        <x:v>4.99</x:v>
      </x:c>
      <x:c r="G10" s="10" t="n">
        <x:v>0</x:v>
      </x:c>
      <x:c r="H10" s="10" t="n">
        <x:v>128.8</x:v>
      </x:c>
      <x:c r="I10" t="str">
        <x:v>Simon</x:v>
      </x:c>
      <x:c r="J10" t="str">
        <x:v>active</x:v>
      </x:c>
    </x:row>
    <x:row r="11">
      <x:c r="A11" t="str">
        <x:v>BON-20260720-003</x:v>
      </x:c>
      <x:c r="B11" t="str">
        <x:v>2026-07-20</x:v>
      </x:c>
      <x:c r="C11" t="str">
        <x:v>REWE Angermünde</x:v>
      </x:c>
      <x:c r="D11" s="10" t="n">
        <x:v>48.16</x:v>
      </x:c>
      <x:c r="E11" s="10" t="n">
        <x:v>48.16</x:v>
      </x:c>
      <x:c r="F11" s="10" t="n">
        <x:v>0</x:v>
      </x:c>
      <x:c r="G11" s="10" t="n">
        <x:v>0</x:v>
      </x:c>
      <x:c r="H11" s="10" t="n">
        <x:v>48.16</x:v>
      </x:c>
      <x:c r="I11" t="str">
        <x:v>Simon</x:v>
      </x:c>
      <x:c r="J11" t="str">
        <x:v>active</x:v>
      </x:c>
    </x:row>
    <x:row r="12">
      <x:c r="A12" t="str">
        <x:v>AUS-20260720-001</x:v>
      </x:c>
      <x:c r="B12" t="str">
        <x:v>2026-07-20</x:v>
      </x:c>
      <x:c r="C12" t="str">
        <x:v>Gut Kerkow Bauernmarkt</x:v>
      </x:c>
      <x:c r="D12" s="10" t="n">
        <x:v>48.23</x:v>
      </x:c>
      <x:c r="E12" s="10" t="n">
        <x:v>48.23</x:v>
      </x:c>
      <x:c r="F12" s="10" t="n">
        <x:v>0</x:v>
      </x:c>
      <x:c r="G12" s="10" t="n">
        <x:v>0</x:v>
      </x:c>
      <x:c r="H12" s="10" t="n">
        <x:v>48.23</x:v>
      </x:c>
      <x:c r="I12" t="str">
        <x:v>Gemeinschaftskonto Katrin &amp; Simon</x:v>
      </x:c>
      <x:c r="J12" t="str">
        <x:v>active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2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>
      <x:c r="A1" s="18" t="str">
        <x:v>Vorgang</x:v>
      </x:c>
      <x:c r="B1" s="18" t="str">
        <x:v>Händler</x:v>
      </x:c>
      <x:c r="C1" s="18" t="str">
        <x:v>Gruppe</x:v>
      </x:c>
      <x:c r="D1" s="18" t="str">
        <x:v>Betrag</x:v>
      </x:c>
      <x:c r="E1" s="18" t="str">
        <x:v>Simon</x:v>
      </x:c>
      <x:c r="F1" s="18" t="str">
        <x:v>Katrin</x:v>
      </x:c>
      <x:c r="G1" s="18" t="str">
        <x:v>Onkel</x:v>
      </x:c>
      <x:c r="H1" s="18" t="str">
        <x:v>Tante</x:v>
      </x:c>
      <x:c r="I1" s="18" t="str">
        <x:v>Oma</x:v>
      </x:c>
      <x:c r="J1" s="18" t="str">
        <x:v>Großvater</x:v>
      </x:c>
    </x:row>
    <x:row r="2">
      <x:c r="A2" t="str">
        <x:v>BON-20260716-001</x:v>
      </x:c>
      <x:c r="B2" t="str">
        <x:v>Kaufland</x:v>
      </x:c>
      <x:c r="C2" t="str">
        <x:v>Gemeinschaft</x:v>
      </x:c>
      <x:c r="D2" s="10" t="n">
        <x:v>34.83</x:v>
      </x:c>
      <x:c r="E2" s="10" t="n">
        <x:v>8.71</x:v>
      </x:c>
      <x:c r="F2" s="10" t="n">
        <x:v>8.71</x:v>
      </x:c>
      <x:c r="G2" s="10" t="n">
        <x:v>8.71</x:v>
      </x:c>
      <x:c r="H2" s="10" t="n">
        <x:v>8.7</x:v>
      </x:c>
      <x:c r="I2" s="10" t="n">
        <x:v>0</x:v>
      </x:c>
      <x:c r="J2" s="10" t="n">
        <x:v>0</x:v>
      </x:c>
    </x:row>
    <x:row r="3">
      <x:c r="A3" t="str">
        <x:v>BON-20260716-002</x:v>
      </x:c>
      <x:c r="B3" t="str">
        <x:v>BIO COMPANY via Wolt</x:v>
      </x:c>
      <x:c r="C3" t="str">
        <x:v>Gemeinschaft</x:v>
      </x:c>
      <x:c r="D3" s="10" t="n">
        <x:v>12.82</x:v>
      </x:c>
      <x:c r="E3" s="10" t="n">
        <x:v>3.21</x:v>
      </x:c>
      <x:c r="F3" s="10" t="n">
        <x:v>3.2</x:v>
      </x:c>
      <x:c r="G3" s="10" t="n">
        <x:v>3.2</x:v>
      </x:c>
      <x:c r="H3" s="10" t="n">
        <x:v>3.21</x:v>
      </x:c>
      <x:c r="I3" s="10" t="n">
        <x:v>0</x:v>
      </x:c>
      <x:c r="J3" s="10" t="n">
        <x:v>0</x:v>
      </x:c>
    </x:row>
    <x:row r="4">
      <x:c r="A4" t="str">
        <x:v>GUT-20260716-001</x:v>
      </x:c>
      <x:c r="B4" t="str">
        <x:v>Wolt / BIO COMPANY</x:v>
      </x:c>
      <x:c r="C4" t="str">
        <x:v>Gemeinschaft</x:v>
      </x:c>
      <x:c r="D4" s="10" t="n">
        <x:v>-3.61</x:v>
      </x:c>
      <x:c r="E4" s="10" t="n">
        <x:v>-0.91</x:v>
      </x:c>
      <x:c r="F4" s="10" t="n">
        <x:v>-0.9</x:v>
      </x:c>
      <x:c r="G4" s="10" t="n">
        <x:v>-0.9</x:v>
      </x:c>
      <x:c r="H4" s="10" t="n">
        <x:v>-0.9</x:v>
      </x:c>
      <x:c r="I4" s="10" t="n">
        <x:v>0</x:v>
      </x:c>
      <x:c r="J4" s="10" t="n">
        <x:v>0</x:v>
      </x:c>
    </x:row>
    <x:row r="5">
      <x:c r="A5" t="str">
        <x:v>BON-20260717-001</x:v>
      </x:c>
      <x:c r="B5" t="str">
        <x:v>Barracuda Fisch</x:v>
      </x:c>
      <x:c r="C5" t="str">
        <x:v>Gemeinschaft</x:v>
      </x:c>
      <x:c r="D5" s="10" t="n">
        <x:v>25</x:v>
      </x:c>
      <x:c r="E5" s="10" t="n">
        <x:v>6.25</x:v>
      </x:c>
      <x:c r="F5" s="10" t="n">
        <x:v>6.25</x:v>
      </x:c>
      <x:c r="G5" s="10" t="n">
        <x:v>6.25</x:v>
      </x:c>
      <x:c r="H5" s="10" t="n">
        <x:v>6.25</x:v>
      </x:c>
      <x:c r="I5" s="10" t="n">
        <x:v>0</x:v>
      </x:c>
      <x:c r="J5" s="10" t="n">
        <x:v>0</x:v>
      </x:c>
    </x:row>
    <x:row r="6">
      <x:c r="A6" t="str">
        <x:v>BON-20260717-002</x:v>
      </x:c>
      <x:c r="B6" t="str">
        <x:v>BIO COMPANY Rathauscenter</x:v>
      </x:c>
      <x:c r="C6" t="str">
        <x:v>Gemeinschaft</x:v>
      </x:c>
      <x:c r="D6" s="10" t="n">
        <x:v>69.44</x:v>
      </x:c>
      <x:c r="E6" s="10" t="n">
        <x:v>17.36</x:v>
      </x:c>
      <x:c r="F6" s="10" t="n">
        <x:v>17.36</x:v>
      </x:c>
      <x:c r="G6" s="10" t="n">
        <x:v>17.36</x:v>
      </x:c>
      <x:c r="H6" s="10" t="n">
        <x:v>17.36</x:v>
      </x:c>
      <x:c r="I6" s="10" t="n">
        <x:v>0</x:v>
      </x:c>
      <x:c r="J6" s="10" t="n">
        <x:v>0</x:v>
      </x:c>
    </x:row>
    <x:row r="7">
      <x:c r="A7" t="str">
        <x:v>BON-20260718-001</x:v>
      </x:c>
      <x:c r="B7" t="str">
        <x:v>Netto Marken-Discount</x:v>
      </x:c>
      <x:c r="C7" t="str">
        <x:v>Gemeinschaft</x:v>
      </x:c>
      <x:c r="D7" s="10" t="n">
        <x:v>71.43</x:v>
      </x:c>
      <x:c r="E7" s="10" t="n">
        <x:v>17.86</x:v>
      </x:c>
      <x:c r="F7" s="10" t="n">
        <x:v>17.86</x:v>
      </x:c>
      <x:c r="G7" s="10" t="n">
        <x:v>17.86</x:v>
      </x:c>
      <x:c r="H7" s="10" t="n">
        <x:v>17.85</x:v>
      </x:c>
      <x:c r="I7" s="10" t="n">
        <x:v>0</x:v>
      </x:c>
      <x:c r="J7" s="10" t="n">
        <x:v>0</x:v>
      </x:c>
    </x:row>
    <x:row r="8">
      <x:c r="A8" t="str">
        <x:v>AUS-20260718-001</x:v>
      </x:c>
      <x:c r="B8" t="str">
        <x:v>Hofladen Marmelade &amp; more</x:v>
      </x:c>
      <x:c r="C8" t="str">
        <x:v>Gemeinschaft</x:v>
      </x:c>
      <x:c r="D8" s="10" t="n">
        <x:v>10</x:v>
      </x:c>
      <x:c r="E8" s="10" t="n">
        <x:v>2.5</x:v>
      </x:c>
      <x:c r="F8" s="10" t="n">
        <x:v>2.5</x:v>
      </x:c>
      <x:c r="G8" s="10" t="n">
        <x:v>2.5</x:v>
      </x:c>
      <x:c r="H8" s="10" t="n">
        <x:v>2.5</x:v>
      </x:c>
      <x:c r="I8" s="10" t="n">
        <x:v>0</x:v>
      </x:c>
      <x:c r="J8" s="10" t="n">
        <x:v>0</x:v>
      </x:c>
    </x:row>
    <x:row r="9">
      <x:c r="A9" t="str">
        <x:v>BON-20260720-001</x:v>
      </x:c>
      <x:c r="B9" t="str">
        <x:v>Gut Kerkow Fleischmanufaktur</x:v>
      </x:c>
      <x:c r="C9" t="str">
        <x:v>Gemeinschaft</x:v>
      </x:c>
      <x:c r="D9" s="10" t="n">
        <x:v>82.62</x:v>
      </x:c>
      <x:c r="E9" s="10" t="n">
        <x:v>20.66</x:v>
      </x:c>
      <x:c r="F9" s="10" t="n">
        <x:v>20.66</x:v>
      </x:c>
      <x:c r="G9" s="10" t="n">
        <x:v>20.65</x:v>
      </x:c>
      <x:c r="H9" s="10" t="n">
        <x:v>20.65</x:v>
      </x:c>
      <x:c r="I9" s="10" t="n">
        <x:v>0</x:v>
      </x:c>
      <x:c r="J9" s="10" t="n">
        <x:v>0</x:v>
      </x:c>
    </x:row>
    <x:row r="10">
      <x:c r="A10" t="str">
        <x:v>BON-20260720-001</x:v>
      </x:c>
      <x:c r="B10" t="str">
        <x:v>Gut Kerkow Fleischmanufaktur</x:v>
      </x:c>
      <x:c r="C10" t="str">
        <x:v>Nur Katrin</x:v>
      </x:c>
      <x:c r="D10" s="10" t="n">
        <x:v>33.6</x:v>
      </x:c>
      <x:c r="E10" s="10" t="n">
        <x:v>0</x:v>
      </x:c>
      <x:c r="F10" s="10" t="n">
        <x:v>33.6</x:v>
      </x:c>
      <x:c r="G10" s="10" t="n">
        <x:v>0</x:v>
      </x:c>
      <x:c r="H10" s="10" t="n">
        <x:v>0</x:v>
      </x:c>
      <x:c r="I10" s="10" t="n">
        <x:v>0</x:v>
      </x:c>
      <x:c r="J10" s="10" t="n">
        <x:v>0</x:v>
      </x:c>
    </x:row>
    <x:row r="11">
      <x:c r="A11" t="str">
        <x:v>BON-20260720-002</x:v>
      </x:c>
      <x:c r="B11" t="str">
        <x:v>Lidl Angermünde</x:v>
      </x:c>
      <x:c r="C11" t="str">
        <x:v>Gemeinschaft</x:v>
      </x:c>
      <x:c r="D11" s="10" t="n">
        <x:v>123.81</x:v>
      </x:c>
      <x:c r="E11" s="10" t="n">
        <x:v>30.96</x:v>
      </x:c>
      <x:c r="F11" s="10" t="n">
        <x:v>30.95</x:v>
      </x:c>
      <x:c r="G11" s="10" t="n">
        <x:v>30.95</x:v>
      </x:c>
      <x:c r="H11" s="10" t="n">
        <x:v>30.95</x:v>
      </x:c>
      <x:c r="I11" s="10" t="n">
        <x:v>0</x:v>
      </x:c>
      <x:c r="J11" s="10" t="n">
        <x:v>0</x:v>
      </x:c>
    </x:row>
    <x:row r="12">
      <x:c r="A12" t="str">
        <x:v>BON-20260720-002</x:v>
      </x:c>
      <x:c r="B12" t="str">
        <x:v>Lidl Angermünde</x:v>
      </x:c>
      <x:c r="C12" t="str">
        <x:v>Onkel + Tante</x:v>
      </x:c>
      <x:c r="D12" s="10" t="n">
        <x:v>4.99</x:v>
      </x:c>
      <x:c r="E12" s="10" t="n">
        <x:v>0</x:v>
      </x:c>
      <x:c r="F12" s="10" t="n">
        <x:v>0</x:v>
      </x:c>
      <x:c r="G12" s="10" t="n">
        <x:v>2.5</x:v>
      </x:c>
      <x:c r="H12" s="10" t="n">
        <x:v>2.49</x:v>
      </x:c>
      <x:c r="I12" s="10" t="n">
        <x:v>0</x:v>
      </x:c>
      <x:c r="J12" s="10" t="n">
        <x:v>0</x:v>
      </x:c>
    </x:row>
    <x:row r="13">
      <x:c r="A13" t="str">
        <x:v>BON-20260720-003</x:v>
      </x:c>
      <x:c r="B13" t="str">
        <x:v>REWE Angermünde</x:v>
      </x:c>
      <x:c r="C13" t="str">
        <x:v>Gemeinschaft</x:v>
      </x:c>
      <x:c r="D13" s="10" t="n">
        <x:v>48.16</x:v>
      </x:c>
      <x:c r="E13" s="10" t="n">
        <x:v>12.04</x:v>
      </x:c>
      <x:c r="F13" s="10" t="n">
        <x:v>12.04</x:v>
      </x:c>
      <x:c r="G13" s="10" t="n">
        <x:v>12.04</x:v>
      </x:c>
      <x:c r="H13" s="10" t="n">
        <x:v>12.04</x:v>
      </x:c>
      <x:c r="I13" s="10" t="n">
        <x:v>0</x:v>
      </x:c>
      <x:c r="J13" s="10" t="n">
        <x:v>0</x:v>
      </x:c>
    </x:row>
    <x:row r="14">
      <x:c r="A14" t="str">
        <x:v>AUS-20260720-001</x:v>
      </x:c>
      <x:c r="B14" t="str">
        <x:v>Gut Kerkow Bauernmarkt</x:v>
      </x:c>
      <x:c r="C14" t="str">
        <x:v>Gemeinschaft</x:v>
      </x:c>
      <x:c r="D14" s="10" t="n">
        <x:v>48.23</x:v>
      </x:c>
      <x:c r="E14" s="10" t="n">
        <x:v>12.06</x:v>
      </x:c>
      <x:c r="F14" s="10" t="n">
        <x:v>12.06</x:v>
      </x:c>
      <x:c r="G14" s="10" t="n">
        <x:v>12.06</x:v>
      </x:c>
      <x:c r="H14" s="10" t="n">
        <x:v>12.05</x:v>
      </x:c>
      <x:c r="I14" s="10" t="n">
        <x:v>0</x:v>
      </x:c>
      <x:c r="J14" s="10" t="n"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8" hidden="0" customWidth="1"/>
    <x:col min="3" max="3" width="36" hidden="0" customWidth="1"/>
    <x:col min="4" max="4" width="10" hidden="0" customWidth="1"/>
    <x:col min="5" max="5" width="15" hidden="0" customWidth="1"/>
    <x:col min="6" max="6" width="13" hidden="0" customWidth="1"/>
    <x:col min="7" max="7" width="13" hidden="0" customWidth="1"/>
    <x:col min="8" max="8" width="13" hidden="0" customWidth="1"/>
    <x:col min="9" max="9" width="22" hidden="0" customWidth="1"/>
    <x:col min="10" max="10" width="16" hidden="0" customWidth="1"/>
    <x:col min="11" max="11" width="40" hidden="0" customWidth="1"/>
  </x:cols>
  <x:sheetData>
    <x:row r="1">
      <x:c r="A1" s="18" t="str">
        <x:v>Vorgang</x:v>
      </x:c>
      <x:c r="B1" s="18" t="str">
        <x:v>Pos.</x:v>
      </x:c>
      <x:c r="C1" s="18" t="str">
        <x:v>Artikel</x:v>
      </x:c>
      <x:c r="D1" s="18" t="str">
        <x:v>Menge</x:v>
      </x:c>
      <x:c r="E1" s="18" t="str">
        <x:v>Einheit</x:v>
      </x:c>
      <x:c r="F1" s="18" t="str">
        <x:v>Brutto</x:v>
      </x:c>
      <x:c r="G1" s="18" t="str">
        <x:v>Rabatt</x:v>
      </x:c>
      <x:c r="H1" s="18" t="str">
        <x:v>Netto</x:v>
      </x:c>
      <x:c r="I1" s="18" t="str">
        <x:v>Kostenblock</x:v>
      </x:c>
      <x:c r="J1" s="18" t="str">
        <x:v>Ausgeschlossen</x:v>
      </x:c>
      <x:c r="K1" s="18" t="str">
        <x:v>Notiz</x:v>
      </x:c>
    </x:row>
    <x:row r="2">
      <x:c r="A2" t="str">
        <x:v>BON-20260716-001</x:v>
      </x:c>
      <x:c r="B2" t="n">
        <x:v>1</x:v>
      </x:c>
      <x:c r="C2" t="str">
        <x:v>KBio Naturjoghurt</x:v>
      </x:c>
      <x:c r="D2" t="n">
        <x:v>3</x:v>
      </x:c>
      <x:c r="E2" t="str">
        <x:v>Stk.</x:v>
      </x:c>
      <x:c r="F2" s="10" t="n">
        <x:v>5.97</x:v>
      </x:c>
      <x:c r="G2" s="10" t="n">
        <x:v>0</x:v>
      </x:c>
      <x:c r="H2" s="10" t="n">
        <x:v>5.97</x:v>
      </x:c>
      <x:c r="I2" t="str">
        <x:v>Gemeinschaft</x:v>
      </x:c>
      <x:c r="J2" s="10" t="n">
        <x:v>3.98</x:v>
      </x:c>
      <x:c r="K2" t="str">
        <x:v>2 von 3 Stück ausgeschlossen</x:v>
      </x:c>
    </x:row>
    <x:row r="3">
      <x:c r="A3" t="str">
        <x:v>BON-20260716-001</x:v>
      </x:c>
      <x:c r="B3" t="n">
        <x:v>2</x:v>
      </x:c>
      <x:c r="C3" t="str">
        <x:v>KBio ESL-Milch 3,8 %</x:v>
      </x:c>
      <x:c r="D3" t="n">
        <x:v>2</x:v>
      </x:c>
      <x:c r="E3" t="str">
        <x:v>Stk.</x:v>
      </x:c>
      <x:c r="F3" s="10" t="n">
        <x:v>2.7</x:v>
      </x:c>
      <x:c r="G3" s="10" t="n">
        <x:v>-0.41</x:v>
      </x:c>
      <x:c r="H3" s="10" t="n">
        <x:v>2.29</x:v>
      </x:c>
      <x:c r="I3" t="str">
        <x:v>Gemeinschaft</x:v>
      </x:c>
      <x:c r="J3" s="10" t="n">
        <x:v>0</x:v>
      </x:c>
      <x:c r="K3" t="str"/>
    </x:row>
    <x:row r="4">
      <x:c r="A4" t="str">
        <x:v>BON-20260716-001</x:v>
      </x:c>
      <x:c r="B4" t="n">
        <x:v>3</x:v>
      </x:c>
      <x:c r="C4" t="str">
        <x:v>KBio Bio-Frischkäse</x:v>
      </x:c>
      <x:c r="D4" t="n">
        <x:v>2</x:v>
      </x:c>
      <x:c r="E4" t="str">
        <x:v>Stk.</x:v>
      </x:c>
      <x:c r="F4" s="10" t="n">
        <x:v>2.58</x:v>
      </x:c>
      <x:c r="G4" s="10" t="n">
        <x:v>-0.52</x:v>
      </x:c>
      <x:c r="H4" s="10" t="n">
        <x:v>2.06</x:v>
      </x:c>
      <x:c r="I4" t="str">
        <x:v>Ausgeschlossen</x:v>
      </x:c>
      <x:c r="J4" s="10" t="n">
        <x:v>2.06</x:v>
      </x:c>
      <x:c r="K4" t="str"/>
    </x:row>
    <x:row r="5">
      <x:c r="A5" t="str">
        <x:v>BON-20260716-001</x:v>
      </x:c>
      <x:c r="B5" t="n">
        <x:v>4</x:v>
      </x:c>
      <x:c r="C5" t="str">
        <x:v>KBio Leinsamen ganz</x:v>
      </x:c>
      <x:c r="D5" t="n">
        <x:v>1</x:v>
      </x:c>
      <x:c r="E5" t="str">
        <x:v>Packung</x:v>
      </x:c>
      <x:c r="F5" s="10" t="n">
        <x:v>1.55</x:v>
      </x:c>
      <x:c r="G5" s="10" t="n">
        <x:v>0</x:v>
      </x:c>
      <x:c r="H5" s="10" t="n">
        <x:v>1.55</x:v>
      </x:c>
      <x:c r="I5" t="str">
        <x:v>Ausgeschlossen</x:v>
      </x:c>
      <x:c r="J5" s="10" t="n">
        <x:v>1.55</x:v>
      </x:c>
      <x:c r="K5" t="str"/>
    </x:row>
    <x:row r="6">
      <x:c r="A6" t="str">
        <x:v>BON-20260716-001</x:v>
      </x:c>
      <x:c r="B6" t="n">
        <x:v>5</x:v>
      </x:c>
      <x:c r="C6" t="str">
        <x:v>Lindt Lindor Tafel</x:v>
      </x:c>
      <x:c r="D6" t="n">
        <x:v>1</x:v>
      </x:c>
      <x:c r="E6" t="str">
        <x:v>Stk.</x:v>
      </x:c>
      <x:c r="F6" s="10" t="n">
        <x:v>2.79</x:v>
      </x:c>
      <x:c r="G6" s="10" t="n">
        <x:v>0</x:v>
      </x:c>
      <x:c r="H6" s="10" t="n">
        <x:v>2.79</x:v>
      </x:c>
      <x:c r="I6" t="str">
        <x:v>Gemeinschaft</x:v>
      </x:c>
      <x:c r="J6" s="10" t="n">
        <x:v>0</x:v>
      </x:c>
      <x:c r="K6" t="str"/>
    </x:row>
    <x:row r="7">
      <x:c r="A7" t="str">
        <x:v>BON-20260716-001</x:v>
      </x:c>
      <x:c r="B7" t="n">
        <x:v>6</x:v>
      </x:c>
      <x:c r="C7" t="str">
        <x:v>KBio Bananen</x:v>
      </x:c>
      <x:c r="D7" t="n">
        <x:v>0.734</x:v>
      </x:c>
      <x:c r="E7" t="str">
        <x:v>kg</x:v>
      </x:c>
      <x:c r="F7" s="10" t="n">
        <x:v>1.46</x:v>
      </x:c>
      <x:c r="G7" s="10" t="n">
        <x:v>0</x:v>
      </x:c>
      <x:c r="H7" s="10" t="n">
        <x:v>1.46</x:v>
      </x:c>
      <x:c r="I7" t="str">
        <x:v>Ausgeschlossen</x:v>
      </x:c>
      <x:c r="J7" s="10" t="n">
        <x:v>1.46</x:v>
      </x:c>
      <x:c r="K7" t="str"/>
    </x:row>
    <x:row r="8">
      <x:c r="A8" t="str">
        <x:v>BON-20260716-001</x:v>
      </x:c>
      <x:c r="B8" t="n">
        <x:v>7</x:v>
      </x:c>
      <x:c r="C8" t="str">
        <x:v>Katjes</x:v>
      </x:c>
      <x:c r="D8" t="n">
        <x:v>1</x:v>
      </x:c>
      <x:c r="E8" t="str">
        <x:v>Packung</x:v>
      </x:c>
      <x:c r="F8" s="10" t="n">
        <x:v>0.89</x:v>
      </x:c>
      <x:c r="G8" s="10" t="n">
        <x:v>0</x:v>
      </x:c>
      <x:c r="H8" s="10" t="n">
        <x:v>0.89</x:v>
      </x:c>
      <x:c r="I8" t="str">
        <x:v>Gemeinschaft</x:v>
      </x:c>
      <x:c r="J8" s="10" t="n">
        <x:v>0</x:v>
      </x:c>
      <x:c r="K8" t="str"/>
    </x:row>
    <x:row r="9">
      <x:c r="A9" t="str">
        <x:v>BON-20260716-001</x:v>
      </x:c>
      <x:c r="B9" t="n">
        <x:v>8</x:v>
      </x:c>
      <x:c r="C9" t="str">
        <x:v>KBio Bandnudeln 500 g</x:v>
      </x:c>
      <x:c r="D9" t="n">
        <x:v>2</x:v>
      </x:c>
      <x:c r="E9" t="str">
        <x:v>Packung</x:v>
      </x:c>
      <x:c r="F9" s="10" t="n">
        <x:v>2.9</x:v>
      </x:c>
      <x:c r="G9" s="10" t="n">
        <x:v>-0.58</x:v>
      </x:c>
      <x:c r="H9" s="10" t="n">
        <x:v>2.32</x:v>
      </x:c>
      <x:c r="I9" t="str">
        <x:v>Gemeinschaft</x:v>
      </x:c>
      <x:c r="J9" s="10" t="n">
        <x:v>0</x:v>
      </x:c>
      <x:c r="K9" t="str"/>
    </x:row>
    <x:row r="10">
      <x:c r="A10" t="str">
        <x:v>BON-20260716-001</x:v>
      </x:c>
      <x:c r="B10" t="n">
        <x:v>9</x:v>
      </x:c>
      <x:c r="C10" t="str">
        <x:v>KBio Äpfel rot 1 kg</x:v>
      </x:c>
      <x:c r="D10" t="n">
        <x:v>1</x:v>
      </x:c>
      <x:c r="E10" t="str">
        <x:v>Packung</x:v>
      </x:c>
      <x:c r="F10" s="10" t="n">
        <x:v>3.49</x:v>
      </x:c>
      <x:c r="G10" s="10" t="n">
        <x:v>0</x:v>
      </x:c>
      <x:c r="H10" s="10" t="n">
        <x:v>3.49</x:v>
      </x:c>
      <x:c r="I10" t="str">
        <x:v>Gemeinschaft</x:v>
      </x:c>
      <x:c r="J10" s="10" t="n">
        <x:v>0</x:v>
      </x:c>
      <x:c r="K10" t="str"/>
    </x:row>
    <x:row r="11">
      <x:c r="A11" t="str">
        <x:v>BON-20260716-001</x:v>
      </x:c>
      <x:c r="B11" t="n">
        <x:v>10</x:v>
      </x:c>
      <x:c r="C11" t="str">
        <x:v>KBio Feta</x:v>
      </x:c>
      <x:c r="D11" t="n">
        <x:v>2</x:v>
      </x:c>
      <x:c r="E11" t="str">
        <x:v>Packung</x:v>
      </x:c>
      <x:c r="F11" s="10" t="n">
        <x:v>4.3</x:v>
      </x:c>
      <x:c r="G11" s="10" t="n">
        <x:v>0</x:v>
      </x:c>
      <x:c r="H11" s="10" t="n">
        <x:v>4.3</x:v>
      </x:c>
      <x:c r="I11" t="str">
        <x:v>Ausgeschlossen</x:v>
      </x:c>
      <x:c r="J11" s="10" t="n">
        <x:v>4.3</x:v>
      </x:c>
      <x:c r="K11" t="str">
        <x:v>Beide Packungen ausgeschlossen</x:v>
      </x:c>
    </x:row>
    <x:row r="12">
      <x:c r="A12" t="str">
        <x:v>BON-20260716-001</x:v>
      </x:c>
      <x:c r="B12" t="n">
        <x:v>11</x:v>
      </x:c>
      <x:c r="C12" t="str">
        <x:v>LM Penne Rigate</x:v>
      </x:c>
      <x:c r="D12" t="n">
        <x:v>1</x:v>
      </x:c>
      <x:c r="E12" t="str">
        <x:v>Packung</x:v>
      </x:c>
      <x:c r="F12" s="10" t="n">
        <x:v>1.99</x:v>
      </x:c>
      <x:c r="G12" s="10" t="n">
        <x:v>-0.8</x:v>
      </x:c>
      <x:c r="H12" s="10" t="n">
        <x:v>1.19</x:v>
      </x:c>
      <x:c r="I12" t="str">
        <x:v>Ausgeschlossen</x:v>
      </x:c>
      <x:c r="J12" s="10" t="n">
        <x:v>1.19</x:v>
      </x:c>
      <x:c r="K12" t="str"/>
    </x:row>
    <x:row r="13">
      <x:c r="A13" t="str">
        <x:v>BON-20260716-001</x:v>
      </x:c>
      <x:c r="B13" t="n">
        <x:v>12</x:v>
      </x:c>
      <x:c r="C13" t="str">
        <x:v>LM Mezzi Rigatoni</x:v>
      </x:c>
      <x:c r="D13" t="n">
        <x:v>1</x:v>
      </x:c>
      <x:c r="E13" t="str">
        <x:v>Packung</x:v>
      </x:c>
      <x:c r="F13" s="10" t="n">
        <x:v>1.99</x:v>
      </x:c>
      <x:c r="G13" s="10" t="n">
        <x:v>-0.8</x:v>
      </x:c>
      <x:c r="H13" s="10" t="n">
        <x:v>1.19</x:v>
      </x:c>
      <x:c r="I13" t="str">
        <x:v>Ausgeschlossen</x:v>
      </x:c>
      <x:c r="J13" s="10" t="n">
        <x:v>1.19</x:v>
      </x:c>
      <x:c r="K13" t="str"/>
    </x:row>
    <x:row r="14">
      <x:c r="A14" t="str">
        <x:v>BON-20260716-001</x:v>
      </x:c>
      <x:c r="B14" t="n">
        <x:v>13</x:v>
      </x:c>
      <x:c r="C14" t="str">
        <x:v>KBio Fusilli Vollkorn</x:v>
      </x:c>
      <x:c r="D14" t="n">
        <x:v>2</x:v>
      </x:c>
      <x:c r="E14" t="str">
        <x:v>Packung</x:v>
      </x:c>
      <x:c r="F14" s="10" t="n">
        <x:v>1.7</x:v>
      </x:c>
      <x:c r="G14" s="10" t="n">
        <x:v>-0.34</x:v>
      </x:c>
      <x:c r="H14" s="10" t="n">
        <x:v>1.36</x:v>
      </x:c>
      <x:c r="I14" t="str">
        <x:v>Gemeinschaft</x:v>
      </x:c>
      <x:c r="J14" s="10" t="n">
        <x:v>0</x:v>
      </x:c>
      <x:c r="K14" t="str"/>
    </x:row>
    <x:row r="15">
      <x:c r="A15" t="str">
        <x:v>BON-20260716-001</x:v>
      </x:c>
      <x:c r="B15" t="n">
        <x:v>14</x:v>
      </x:c>
      <x:c r="C15" t="str">
        <x:v>KBio Tomaten 500 g</x:v>
      </x:c>
      <x:c r="D15" t="n">
        <x:v>1</x:v>
      </x:c>
      <x:c r="E15" t="str">
        <x:v>Packung</x:v>
      </x:c>
      <x:c r="F15" s="10" t="n">
        <x:v>2.79</x:v>
      </x:c>
      <x:c r="G15" s="10" t="n">
        <x:v>0</x:v>
      </x:c>
      <x:c r="H15" s="10" t="n">
        <x:v>2.79</x:v>
      </x:c>
      <x:c r="I15" t="str">
        <x:v>Gemeinschaft</x:v>
      </x:c>
      <x:c r="J15" s="10" t="n">
        <x:v>0</x:v>
      </x:c>
      <x:c r="K15" t="str"/>
    </x:row>
    <x:row r="16">
      <x:c r="A16" t="str">
        <x:v>BON-20260716-001</x:v>
      </x:c>
      <x:c r="B16" t="n">
        <x:v>15</x:v>
      </x:c>
      <x:c r="C16" t="str">
        <x:v>K-free Schlagsahne</x:v>
      </x:c>
      <x:c r="D16" t="n">
        <x:v>1</x:v>
      </x:c>
      <x:c r="E16" t="str">
        <x:v>Packung</x:v>
      </x:c>
      <x:c r="F16" s="10" t="n">
        <x:v>0.99</x:v>
      </x:c>
      <x:c r="G16" s="10" t="n">
        <x:v>0</x:v>
      </x:c>
      <x:c r="H16" s="10" t="n">
        <x:v>0.99</x:v>
      </x:c>
      <x:c r="I16" t="str">
        <x:v>Ausgeschlossen</x:v>
      </x:c>
      <x:c r="J16" s="10" t="n">
        <x:v>0.99</x:v>
      </x:c>
      <x:c r="K16" t="str"/>
    </x:row>
    <x:row r="17">
      <x:c r="A17" t="str">
        <x:v>BON-20260716-001</x:v>
      </x:c>
      <x:c r="B17" t="n">
        <x:v>16</x:v>
      </x:c>
      <x:c r="C17" t="str">
        <x:v>Leibniz Black'n White</x:v>
      </x:c>
      <x:c r="D17" t="n">
        <x:v>1</x:v>
      </x:c>
      <x:c r="E17" t="str">
        <x:v>Packung</x:v>
      </x:c>
      <x:c r="F17" s="10" t="n">
        <x:v>1.99</x:v>
      </x:c>
      <x:c r="G17" s="10" t="n">
        <x:v>0</x:v>
      </x:c>
      <x:c r="H17" s="10" t="n">
        <x:v>1.99</x:v>
      </x:c>
      <x:c r="I17" t="str">
        <x:v>Ausgeschlossen</x:v>
      </x:c>
      <x:c r="J17" s="10" t="n">
        <x:v>1.99</x:v>
      </x:c>
      <x:c r="K17" t="str"/>
    </x:row>
    <x:row r="18">
      <x:c r="A18" t="str">
        <x:v>BON-20260716-001</x:v>
      </x:c>
      <x:c r="B18" t="n">
        <x:v>17</x:v>
      </x:c>
      <x:c r="C18" t="str">
        <x:v>KLC Chips leicht gesalzen</x:v>
      </x:c>
      <x:c r="D18" t="n">
        <x:v>1</x:v>
      </x:c>
      <x:c r="E18" t="str">
        <x:v>Packung</x:v>
      </x:c>
      <x:c r="F18" s="10" t="n">
        <x:v>1.39</x:v>
      </x:c>
      <x:c r="G18" s="10" t="n">
        <x:v>0</x:v>
      </x:c>
      <x:c r="H18" s="10" t="n">
        <x:v>1.39</x:v>
      </x:c>
      <x:c r="I18" t="str">
        <x:v>Gemeinschaft</x:v>
      </x:c>
      <x:c r="J18" s="10" t="n">
        <x:v>0</x:v>
      </x:c>
      <x:c r="K18" t="str"/>
    </x:row>
    <x:row r="19">
      <x:c r="A19" t="str">
        <x:v>BON-20260716-001</x:v>
      </x:c>
      <x:c r="B19" t="n">
        <x:v>18</x:v>
      </x:c>
      <x:c r="C19" t="str">
        <x:v>KLC American Cookies</x:v>
      </x:c>
      <x:c r="D19" t="n">
        <x:v>1</x:v>
      </x:c>
      <x:c r="E19" t="str">
        <x:v>Packung</x:v>
      </x:c>
      <x:c r="F19" s="10" t="n">
        <x:v>1.29</x:v>
      </x:c>
      <x:c r="G19" s="10" t="n">
        <x:v>0</x:v>
      </x:c>
      <x:c r="H19" s="10" t="n">
        <x:v>1.29</x:v>
      </x:c>
      <x:c r="I19" t="str">
        <x:v>Ausgeschlossen</x:v>
      </x:c>
      <x:c r="J19" s="10" t="n">
        <x:v>1.29</x:v>
      </x:c>
      <x:c r="K19" t="str"/>
    </x:row>
    <x:row r="20">
      <x:c r="A20" t="str">
        <x:v>BON-20260716-001</x:v>
      </x:c>
      <x:c r="B20" t="n">
        <x:v>19</x:v>
      </x:c>
      <x:c r="C20" t="str">
        <x:v>K-Bio Honig cremig</x:v>
      </x:c>
      <x:c r="D20" t="n">
        <x:v>1</x:v>
      </x:c>
      <x:c r="E20" t="str">
        <x:v>Glas</x:v>
      </x:c>
      <x:c r="F20" s="10" t="n">
        <x:v>1.99</x:v>
      </x:c>
      <x:c r="G20" s="10" t="n">
        <x:v>0</x:v>
      </x:c>
      <x:c r="H20" s="10" t="n">
        <x:v>1.99</x:v>
      </x:c>
      <x:c r="I20" t="str">
        <x:v>Ausgeschlossen</x:v>
      </x:c>
      <x:c r="J20" s="10" t="n">
        <x:v>1.99</x:v>
      </x:c>
      <x:c r="K20" t="str"/>
    </x:row>
    <x:row r="21">
      <x:c r="A21" t="str">
        <x:v>BON-20260716-001</x:v>
      </x:c>
      <x:c r="B21" t="n">
        <x:v>20</x:v>
      </x:c>
      <x:c r="C21" t="str">
        <x:v>Harzbube Handkäse</x:v>
      </x:c>
      <x:c r="D21" t="n">
        <x:v>1</x:v>
      </x:c>
      <x:c r="E21" t="str">
        <x:v>Packung</x:v>
      </x:c>
      <x:c r="F21" s="10" t="n">
        <x:v>1.99</x:v>
      </x:c>
      <x:c r="G21" s="10" t="n">
        <x:v>0</x:v>
      </x:c>
      <x:c r="H21" s="10" t="n">
        <x:v>1.99</x:v>
      </x:c>
      <x:c r="I21" t="str">
        <x:v>Gemeinschaft</x:v>
      </x:c>
      <x:c r="J21" s="10" t="n">
        <x:v>0</x:v>
      </x:c>
      <x:c r="K21" t="str">
        <x:v>Nach Nutzerkorrektur enthalten</x:v>
      </x:c>
    </x:row>
    <x:row r="22">
      <x:c r="A22" t="str">
        <x:v>BON-20260716-001</x:v>
      </x:c>
      <x:c r="B22" t="n">
        <x:v>21</x:v>
      </x:c>
      <x:c r="C22" t="str">
        <x:v>St. Mang Limburger</x:v>
      </x:c>
      <x:c r="D22" t="n">
        <x:v>1</x:v>
      </x:c>
      <x:c r="E22" t="str">
        <x:v>Packung</x:v>
      </x:c>
      <x:c r="F22" s="10" t="n">
        <x:v>1.89</x:v>
      </x:c>
      <x:c r="G22" s="10" t="n">
        <x:v>0</x:v>
      </x:c>
      <x:c r="H22" s="10" t="n">
        <x:v>1.89</x:v>
      </x:c>
      <x:c r="I22" t="str">
        <x:v>Gemeinschaft</x:v>
      </x:c>
      <x:c r="J22" s="10" t="n">
        <x:v>0</x:v>
      </x:c>
      <x:c r="K22" t="str"/>
    </x:row>
    <x:row r="23">
      <x:c r="A23" t="str">
        <x:v>BON-20260716-001</x:v>
      </x:c>
      <x:c r="B23" t="n">
        <x:v>22</x:v>
      </x:c>
      <x:c r="C23" t="str">
        <x:v>KBio Birnen 500 g</x:v>
      </x:c>
      <x:c r="D23" t="n">
        <x:v>1</x:v>
      </x:c>
      <x:c r="E23" t="str">
        <x:v>Packung</x:v>
      </x:c>
      <x:c r="F23" s="10" t="n">
        <x:v>2.79</x:v>
      </x:c>
      <x:c r="G23" s="10" t="n">
        <x:v>-0.56</x:v>
      </x:c>
      <x:c r="H23" s="10" t="n">
        <x:v>2.23</x:v>
      </x:c>
      <x:c r="I23" t="str">
        <x:v>Gemeinschaft</x:v>
      </x:c>
      <x:c r="J23" s="10" t="n">
        <x:v>0</x:v>
      </x:c>
      <x:c r="K23" t="str"/>
    </x:row>
    <x:row r="24">
      <x:c r="A24" t="str">
        <x:v>BON-20260716-001</x:v>
      </x:c>
      <x:c r="B24" t="n">
        <x:v>23</x:v>
      </x:c>
      <x:c r="C24" t="str">
        <x:v>KBio Zitronen 500 g</x:v>
      </x:c>
      <x:c r="D24" t="n">
        <x:v>2</x:v>
      </x:c>
      <x:c r="E24" t="str">
        <x:v>Packung</x:v>
      </x:c>
      <x:c r="F24" s="10" t="n">
        <x:v>3.98</x:v>
      </x:c>
      <x:c r="G24" s="10" t="n">
        <x:v>0</x:v>
      </x:c>
      <x:c r="H24" s="10" t="n">
        <x:v>3.98</x:v>
      </x:c>
      <x:c r="I24" t="str">
        <x:v>Ausgeschlossen</x:v>
      </x:c>
      <x:c r="J24" s="10" t="n">
        <x:v>3.98</x:v>
      </x:c>
      <x:c r="K24" t="str"/>
    </x:row>
    <x:row r="25">
      <x:c r="A25" t="str">
        <x:v>BON-20260716-001</x:v>
      </x:c>
      <x:c r="B25" t="n">
        <x:v>24</x:v>
      </x:c>
      <x:c r="C25" t="str">
        <x:v>Avocado RTE</x:v>
      </x:c>
      <x:c r="D25" t="n">
        <x:v>2</x:v>
      </x:c>
      <x:c r="E25" t="str">
        <x:v>Stk.</x:v>
      </x:c>
      <x:c r="F25" s="10" t="n">
        <x:v>2.22</x:v>
      </x:c>
      <x:c r="G25" s="10" t="n">
        <x:v>-0.43</x:v>
      </x:c>
      <x:c r="H25" s="10" t="n">
        <x:v>1.79</x:v>
      </x:c>
      <x:c r="I25" t="str">
        <x:v>Ausgeschlossen</x:v>
      </x:c>
      <x:c r="J25" s="10" t="n">
        <x:v>1.79</x:v>
      </x:c>
      <x:c r="K25" t="str"/>
    </x:row>
    <x:row r="26">
      <x:c r="A26" t="str">
        <x:v>BON-20260716-001</x:v>
      </x:c>
      <x:c r="B26" t="n">
        <x:v>25</x:v>
      </x:c>
      <x:c r="C26" t="str">
        <x:v>Romatomaten 500 g</x:v>
      </x:c>
      <x:c r="D26" t="n">
        <x:v>1</x:v>
      </x:c>
      <x:c r="E26" t="str">
        <x:v>Packung</x:v>
      </x:c>
      <x:c r="F26" s="10" t="n">
        <x:v>2.79</x:v>
      </x:c>
      <x:c r="G26" s="10" t="n">
        <x:v>0</x:v>
      </x:c>
      <x:c r="H26" s="10" t="n">
        <x:v>2.79</x:v>
      </x:c>
      <x:c r="I26" t="str">
        <x:v>Gemeinschaft</x:v>
      </x:c>
      <x:c r="J26" s="10" t="n">
        <x:v>0</x:v>
      </x:c>
      <x:c r="K26" t="str"/>
    </x:row>
    <x:row r="27">
      <x:c r="A27" t="str">
        <x:v>BON-20260716-001</x:v>
      </x:c>
      <x:c r="B27" t="n">
        <x:v>26</x:v>
      </x:c>
      <x:c r="C27" t="str">
        <x:v>Apostels Zaziki</x:v>
      </x:c>
      <x:c r="D27" t="n">
        <x:v>1</x:v>
      </x:c>
      <x:c r="E27" t="str">
        <x:v>Packung</x:v>
      </x:c>
      <x:c r="F27" s="10" t="n">
        <x:v>0.89</x:v>
      </x:c>
      <x:c r="G27" s="10" t="n">
        <x:v>-0.2</x:v>
      </x:c>
      <x:c r="H27" s="10" t="n">
        <x:v>0.69</x:v>
      </x:c>
      <x:c r="I27" t="str">
        <x:v>Ausgeschlossen</x:v>
      </x:c>
      <x:c r="J27" s="10" t="n">
        <x:v>0.69</x:v>
      </x:c>
      <x:c r="K27" t="str"/>
    </x:row>
    <x:row r="28">
      <x:c r="A28" t="str">
        <x:v>BON-20260716-001</x:v>
      </x:c>
      <x:c r="B28" t="n">
        <x:v>27</x:v>
      </x:c>
      <x:c r="C28" t="str">
        <x:v>KBio Kartoffeln 1,5 kg</x:v>
      </x:c>
      <x:c r="D28" t="n">
        <x:v>2</x:v>
      </x:c>
      <x:c r="E28" t="str">
        <x:v>Packung</x:v>
      </x:c>
      <x:c r="F28" s="10" t="n">
        <x:v>4.98</x:v>
      </x:c>
      <x:c r="G28" s="10" t="n">
        <x:v>0</x:v>
      </x:c>
      <x:c r="H28" s="10" t="n">
        <x:v>4.98</x:v>
      </x:c>
      <x:c r="I28" t="str">
        <x:v>Gemeinschaft</x:v>
      </x:c>
      <x:c r="J28" s="10" t="n">
        <x:v>0</x:v>
      </x:c>
      <x:c r="K28" t="str"/>
    </x:row>
    <x:row r="29">
      <x:c r="A29" t="str">
        <x:v>BON-20260716-001</x:v>
      </x:c>
      <x:c r="B29" t="n">
        <x:v>28</x:v>
      </x:c>
      <x:c r="C29" t="str">
        <x:v>Leergut Mopro</x:v>
      </x:c>
      <x:c r="D29" t="n">
        <x:v>1</x:v>
      </x:c>
      <x:c r="E29" t="str">
        <x:v>Gutschrift</x:v>
      </x:c>
      <x:c r="F29" s="10" t="n">
        <x:v>-0.15</x:v>
      </x:c>
      <x:c r="G29" s="10" t="n">
        <x:v>0</x:v>
      </x:c>
      <x:c r="H29" s="10" t="n">
        <x:v>-0.15</x:v>
      </x:c>
      <x:c r="I29" t="str">
        <x:v>Gemeinschaft</x:v>
      </x:c>
      <x:c r="J29" s="10" t="n">
        <x:v>0</x:v>
      </x:c>
      <x:c r="K29" t="str"/>
    </x:row>
    <x:row r="30">
      <x:c r="A30" t="str">
        <x:v>BON-20260716-001</x:v>
      </x:c>
      <x:c r="B30" t="n">
        <x:v>29</x:v>
      </x:c>
      <x:c r="C30" t="str">
        <x:v>KBio Möhren 1 kg</x:v>
      </x:c>
      <x:c r="D30" t="n">
        <x:v>1</x:v>
      </x:c>
      <x:c r="E30" t="str">
        <x:v>Packung</x:v>
      </x:c>
      <x:c r="F30" s="10" t="n">
        <x:v>1.79</x:v>
      </x:c>
      <x:c r="G30" s="10" t="n">
        <x:v>0</x:v>
      </x:c>
      <x:c r="H30" s="10" t="n">
        <x:v>1.79</x:v>
      </x:c>
      <x:c r="I30" t="str">
        <x:v>Gemeinschaft</x:v>
      </x:c>
      <x:c r="J30" s="10" t="n">
        <x:v>0</x:v>
      </x:c>
      <x:c r="K30" t="str"/>
    </x:row>
    <x:row r="31">
      <x:c r="A31" t="str">
        <x:v>BON-20260716-002</x:v>
      </x:c>
      <x:c r="B31" t="n">
        <x:v>1</x:v>
      </x:c>
      <x:c r="C31" t="str">
        <x:v>Schrozberg Kefir im Glas 1,5 %, 500 g</x:v>
      </x:c>
      <x:c r="D31" t="n">
        <x:v>2</x:v>
      </x:c>
      <x:c r="E31" t="str">
        <x:v>Stk.</x:v>
      </x:c>
      <x:c r="F31" s="10" t="n">
        <x:v>3.58</x:v>
      </x:c>
      <x:c r="G31" s="10" t="n">
        <x:v>0</x:v>
      </x:c>
      <x:c r="H31" s="10" t="n">
        <x:v>3.58</x:v>
      </x:c>
      <x:c r="I31" t="str">
        <x:v>Ausgeschlossen</x:v>
      </x:c>
      <x:c r="J31" s="10" t="n">
        <x:v>3.58</x:v>
      </x:c>
      <x:c r="K31" t="str"/>
    </x:row>
    <x:row r="32">
      <x:c r="A32" t="str">
        <x:v>BON-20260716-002</x:v>
      </x:c>
      <x:c r="B32" t="n">
        <x:v>2</x:v>
      </x:c>
      <x:c r="C32" t="str">
        <x:v>Pfand Schrozberg Kefir</x:v>
      </x:c>
      <x:c r="D32" t="n">
        <x:v>2</x:v>
      </x:c>
      <x:c r="E32" t="str">
        <x:v>Stk.</x:v>
      </x:c>
      <x:c r="F32" s="10" t="n">
        <x:v>0.3</x:v>
      </x:c>
      <x:c r="G32" s="10" t="n">
        <x:v>0</x:v>
      </x:c>
      <x:c r="H32" s="10" t="n">
        <x:v>0.3</x:v>
      </x:c>
      <x:c r="I32" t="str">
        <x:v>Ausgeschlossen</x:v>
      </x:c>
      <x:c r="J32" s="10" t="n">
        <x:v>0.3</x:v>
      </x:c>
      <x:c r="K32" t="str"/>
    </x:row>
    <x:row r="33">
      <x:c r="A33" t="str">
        <x:v>BON-20260716-002</x:v>
      </x:c>
      <x:c r="B33" t="n">
        <x:v>3</x:v>
      </x:c>
      <x:c r="C33" t="str">
        <x:v>Paul Söbbeke Bio Magerquark, 500 g</x:v>
      </x:c>
      <x:c r="D33" t="n">
        <x:v>2</x:v>
      </x:c>
      <x:c r="E33" t="str">
        <x:v>Stk.</x:v>
      </x:c>
      <x:c r="F33" s="10" t="n">
        <x:v>3.98</x:v>
      </x:c>
      <x:c r="G33" s="10" t="n">
        <x:v>0</x:v>
      </x:c>
      <x:c r="H33" s="10" t="n">
        <x:v>3.98</x:v>
      </x:c>
      <x:c r="I33" t="str">
        <x:v>Gemeinschaft</x:v>
      </x:c>
      <x:c r="J33" s="10" t="n">
        <x:v>0</x:v>
      </x:c>
      <x:c r="K33" t="str"/>
    </x:row>
    <x:row r="34">
      <x:c r="A34" t="str">
        <x:v>BON-20260716-002</x:v>
      </x:c>
      <x:c r="B34" t="n">
        <x:v>4</x:v>
      </x:c>
      <x:c r="C34" t="str">
        <x:v>Salatgurke</x:v>
      </x:c>
      <x:c r="D34" t="n">
        <x:v>1</x:v>
      </x:c>
      <x:c r="E34" t="str">
        <x:v>Stk.</x:v>
      </x:c>
      <x:c r="F34" s="10" t="n">
        <x:v>1.99</x:v>
      </x:c>
      <x:c r="G34" s="10" t="n">
        <x:v>0</x:v>
      </x:c>
      <x:c r="H34" s="10" t="n">
        <x:v>1.99</x:v>
      </x:c>
      <x:c r="I34" t="str">
        <x:v>Ausgeschlossen</x:v>
      </x:c>
      <x:c r="J34" s="10" t="n">
        <x:v>1.99</x:v>
      </x:c>
      <x:c r="K34" t="str"/>
    </x:row>
    <x:row r="35">
      <x:c r="A35" t="str">
        <x:v>BON-20260716-002</x:v>
      </x:c>
      <x:c r="B35" t="n">
        <x:v>5</x:v>
      </x:c>
      <x:c r="C35" t="str">
        <x:v>Molkerei Söbbeke Speisequark 20 %</x:v>
      </x:c>
      <x:c r="D35" t="n">
        <x:v>2</x:v>
      </x:c>
      <x:c r="E35" t="str">
        <x:v>Stk.</x:v>
      </x:c>
      <x:c r="F35" s="10" t="n">
        <x:v>3.58</x:v>
      </x:c>
      <x:c r="G35" s="10" t="n">
        <x:v>0</x:v>
      </x:c>
      <x:c r="H35" s="10" t="n">
        <x:v>3.58</x:v>
      </x:c>
      <x:c r="I35" t="str">
        <x:v>Gemeinschaft</x:v>
      </x:c>
      <x:c r="J35" s="10" t="n">
        <x:v>0</x:v>
      </x:c>
      <x:c r="K35" t="str"/>
    </x:row>
    <x:row r="36">
      <x:c r="A36" t="str">
        <x:v>BON-20260716-002</x:v>
      </x:c>
      <x:c r="B36" t="n">
        <x:v>6</x:v>
      </x:c>
      <x:c r="C36" t="str">
        <x:v>La Selva Polpa fine di pomodoro</x:v>
      </x:c>
      <x:c r="D36" t="n">
        <x:v>5</x:v>
      </x:c>
      <x:c r="E36" t="str">
        <x:v>Stk.</x:v>
      </x:c>
      <x:c r="F36" s="10" t="n">
        <x:v>16.45</x:v>
      </x:c>
      <x:c r="G36" s="10" t="n">
        <x:v>0</x:v>
      </x:c>
      <x:c r="H36" s="10" t="n">
        <x:v>16.45</x:v>
      </x:c>
      <x:c r="I36" t="str">
        <x:v>Ausgeschlossen</x:v>
      </x:c>
      <x:c r="J36" s="10" t="n">
        <x:v>16.45</x:v>
      </x:c>
      <x:c r="K36" t="str"/>
    </x:row>
    <x:row r="37">
      <x:c r="A37" t="str">
        <x:v>BON-20260716-002</x:v>
      </x:c>
      <x:c r="B37" t="n">
        <x:v>7</x:v>
      </x:c>
      <x:c r="C37" t="str">
        <x:v>Kinder-Apfel Elstar, 1,5-kg-Beutel</x:v>
      </x:c>
      <x:c r="D37" t="n">
        <x:v>1</x:v>
      </x:c>
      <x:c r="E37" t="str">
        <x:v>Beutel</x:v>
      </x:c>
      <x:c r="F37" s="10" t="n">
        <x:v>3.99</x:v>
      </x:c>
      <x:c r="G37" s="10" t="n">
        <x:v>0</x:v>
      </x:c>
      <x:c r="H37" s="10" t="n">
        <x:v>3.99</x:v>
      </x:c>
      <x:c r="I37" t="str">
        <x:v>Gemeinschaft</x:v>
      </x:c>
      <x:c r="J37" s="10" t="n">
        <x:v>0</x:v>
      </x:c>
      <x:c r="K37" t="str"/>
    </x:row>
    <x:row r="38">
      <x:c r="A38" t="str">
        <x:v>BON-20260716-002</x:v>
      </x:c>
      <x:c r="B38" t="n">
        <x:v>8</x:v>
      </x:c>
      <x:c r="C38" t="str">
        <x:v>BIO COMPANY Linsenchips Falafel, 75 g</x:v>
      </x:c>
      <x:c r="D38" t="n">
        <x:v>1</x:v>
      </x:c>
      <x:c r="E38" t="str">
        <x:v>Packung</x:v>
      </x:c>
      <x:c r="F38" s="10" t="n">
        <x:v>1.89</x:v>
      </x:c>
      <x:c r="G38" s="10" t="n">
        <x:v>0</x:v>
      </x:c>
      <x:c r="H38" s="10" t="n">
        <x:v>1.89</x:v>
      </x:c>
      <x:c r="I38" t="str">
        <x:v>Gemeinschaft</x:v>
      </x:c>
      <x:c r="J38" s="10" t="n">
        <x:v>0</x:v>
      </x:c>
      <x:c r="K38" t="str"/>
    </x:row>
    <x:row r="39">
      <x:c r="A39" t="str">
        <x:v>BON-20260716-002</x:v>
      </x:c>
      <x:c r="B39" t="n">
        <x:v>9</x:v>
      </x:c>
      <x:c r="C39" t="str">
        <x:v>BIO COMPANY Grissini Sesam</x:v>
      </x:c>
      <x:c r="D39" t="n">
        <x:v>1</x:v>
      </x:c>
      <x:c r="E39" t="str">
        <x:v>Packung</x:v>
      </x:c>
      <x:c r="F39" s="10" t="n">
        <x:v>1.99</x:v>
      </x:c>
      <x:c r="G39" s="10" t="n">
        <x:v>0</x:v>
      </x:c>
      <x:c r="H39" s="10" t="n">
        <x:v>1.99</x:v>
      </x:c>
      <x:c r="I39" t="str">
        <x:v>Ausgeschlossen</x:v>
      </x:c>
      <x:c r="J39" s="10" t="n">
        <x:v>1.99</x:v>
      </x:c>
      <x:c r="K39" t="str"/>
    </x:row>
    <x:row r="40">
      <x:c r="A40" t="str">
        <x:v>BON-20260716-002</x:v>
      </x:c>
      <x:c r="B40" t="n">
        <x:v>10</x:v>
      </x:c>
      <x:c r="C40" t="str">
        <x:v>Erdmannhauser Dinkel-Knusperbrezeln</x:v>
      </x:c>
      <x:c r="D40" t="n">
        <x:v>1</x:v>
      </x:c>
      <x:c r="E40" t="str">
        <x:v>Packung</x:v>
      </x:c>
      <x:c r="F40" s="10" t="n">
        <x:v>2.49</x:v>
      </x:c>
      <x:c r="G40" s="10" t="n">
        <x:v>0</x:v>
      </x:c>
      <x:c r="H40" s="10" t="n">
        <x:v>2.49</x:v>
      </x:c>
      <x:c r="I40" t="str">
        <x:v>Ausgeschlossen</x:v>
      </x:c>
      <x:c r="J40" s="10" t="n">
        <x:v>2.49</x:v>
      </x:c>
      <x:c r="K40" t="str"/>
    </x:row>
    <x:row r="41">
      <x:c r="A41" t="str">
        <x:v>BON-20260716-002</x:v>
      </x:c>
      <x:c r="B41" t="n">
        <x:v>11</x:v>
      </x:c>
      <x:c r="C41" t="str">
        <x:v>Lieferung 7 % MwSt.</x:v>
      </x:c>
      <x:c r="D41" t="n">
        <x:v>1</x:v>
      </x:c>
      <x:c r="E41" t="str">
        <x:v>Gebühr</x:v>
      </x:c>
      <x:c r="F41" s="10" t="n">
        <x:v>0.99</x:v>
      </x:c>
      <x:c r="G41" s="10" t="n">
        <x:v>0</x:v>
      </x:c>
      <x:c r="H41" s="10" t="n">
        <x:v>0.99</x:v>
      </x:c>
      <x:c r="I41" t="str">
        <x:v>Ausgeschlossen</x:v>
      </x:c>
      <x:c r="J41" s="10" t="n">
        <x:v>0.99</x:v>
      </x:c>
      <x:c r="K41" t="str"/>
    </x:row>
    <x:row r="42">
      <x:c r="A42" t="str">
        <x:v>BON-20260716-002</x:v>
      </x:c>
      <x:c r="B42" t="n">
        <x:v>12</x:v>
      </x:c>
      <x:c r="C42" t="str">
        <x:v>Lieferung 19 % MwSt.</x:v>
      </x:c>
      <x:c r="D42" t="n">
        <x:v>1</x:v>
      </x:c>
      <x:c r="E42" t="str">
        <x:v>Gebühr</x:v>
      </x:c>
      <x:c r="F42" s="10" t="n">
        <x:v>0.01</x:v>
      </x:c>
      <x:c r="G42" s="10" t="n">
        <x:v>0</x:v>
      </x:c>
      <x:c r="H42" s="10" t="n">
        <x:v>0.01</x:v>
      </x:c>
      <x:c r="I42" t="str">
        <x:v>Ausgeschlossen</x:v>
      </x:c>
      <x:c r="J42" s="10" t="n">
        <x:v>0.01</x:v>
      </x:c>
      <x:c r="K42" t="str"/>
    </x:row>
    <x:row r="43">
      <x:c r="A43" t="str">
        <x:v>BON-20260716-002</x:v>
      </x:c>
      <x:c r="B43" t="n">
        <x:v>13</x:v>
      </x:c>
      <x:c r="C43" t="str">
        <x:v>Lieferrabatt bei Vorbestellung 7 %</x:v>
      </x:c>
      <x:c r="D43" t="n">
        <x:v>1</x:v>
      </x:c>
      <x:c r="E43" t="str">
        <x:v>Rabatt</x:v>
      </x:c>
      <x:c r="F43" s="10" t="n">
        <x:v>-0.99</x:v>
      </x:c>
      <x:c r="G43" s="10" t="n">
        <x:v>0</x:v>
      </x:c>
      <x:c r="H43" s="10" t="n">
        <x:v>-0.99</x:v>
      </x:c>
      <x:c r="I43" t="str">
        <x:v>Ausgeschlossen</x:v>
      </x:c>
      <x:c r="J43" s="10" t="n">
        <x:v>-0.99</x:v>
      </x:c>
      <x:c r="K43" t="str"/>
    </x:row>
    <x:row r="44">
      <x:c r="A44" t="str">
        <x:v>BON-20260716-002</x:v>
      </x:c>
      <x:c r="B44" t="n">
        <x:v>14</x:v>
      </x:c>
      <x:c r="C44" t="str">
        <x:v>Lieferrabatt bei Vorbestellung 19 %</x:v>
      </x:c>
      <x:c r="D44" t="n">
        <x:v>1</x:v>
      </x:c>
      <x:c r="E44" t="str">
        <x:v>Rabatt</x:v>
      </x:c>
      <x:c r="F44" s="10" t="n">
        <x:v>-0.01</x:v>
      </x:c>
      <x:c r="G44" s="10" t="n">
        <x:v>0</x:v>
      </x:c>
      <x:c r="H44" s="10" t="n">
        <x:v>-0.01</x:v>
      </x:c>
      <x:c r="I44" t="str">
        <x:v>Ausgeschlossen</x:v>
      </x:c>
      <x:c r="J44" s="10" t="n">
        <x:v>-0.01</x:v>
      </x:c>
      <x:c r="K44" t="str"/>
    </x:row>
    <x:row r="45">
      <x:c r="A45" t="str">
        <x:v>BON-20260716-002</x:v>
      </x:c>
      <x:c r="B45" t="n">
        <x:v>15</x:v>
      </x:c>
      <x:c r="C45" t="str">
        <x:v>Servicegebühr 7 % MwSt.</x:v>
      </x:c>
      <x:c r="D45" t="n">
        <x:v>1</x:v>
      </x:c>
      <x:c r="E45" t="str">
        <x:v>Gebühr</x:v>
      </x:c>
      <x:c r="F45" s="10" t="n">
        <x:v>3.56</x:v>
      </x:c>
      <x:c r="G45" s="10" t="n">
        <x:v>0</x:v>
      </x:c>
      <x:c r="H45" s="10" t="n">
        <x:v>3.56</x:v>
      </x:c>
      <x:c r="I45" t="str">
        <x:v>Gemeinschaft</x:v>
      </x:c>
      <x:c r="J45" s="10" t="n">
        <x:v>2.37</x:v>
      </x:c>
      <x:c r="K45" t="str"/>
    </x:row>
    <x:row r="46">
      <x:c r="A46" t="str">
        <x:v>BON-20260716-002</x:v>
      </x:c>
      <x:c r="B46" t="n">
        <x:v>16</x:v>
      </x:c>
      <x:c r="C46" t="str">
        <x:v>Servicegebühr 19 % MwSt.</x:v>
      </x:c>
      <x:c r="D46" t="n">
        <x:v>1</x:v>
      </x:c>
      <x:c r="E46" t="str">
        <x:v>Gebühr</x:v>
      </x:c>
      <x:c r="F46" s="10" t="n">
        <x:v>0.03</x:v>
      </x:c>
      <x:c r="G46" s="10" t="n">
        <x:v>0</x:v>
      </x:c>
      <x:c r="H46" s="10" t="n">
        <x:v>0.03</x:v>
      </x:c>
      <x:c r="I46" t="str">
        <x:v>Gemeinschaft</x:v>
      </x:c>
      <x:c r="J46" s="10" t="n">
        <x:v>0.02</x:v>
      </x:c>
      <x:c r="K46" t="str"/>
    </x:row>
    <x:row r="47">
      <x:c r="A47" t="str">
        <x:v>BON-20260716-002</x:v>
      </x:c>
      <x:c r="B47" t="n">
        <x:v>17</x:v>
      </x:c>
      <x:c r="C47" t="str">
        <x:v>Wolt+ Servicegebühr-Rabatt 7 %</x:v>
      </x:c>
      <x:c r="D47" t="n">
        <x:v>1</x:v>
      </x:c>
      <x:c r="E47" t="str">
        <x:v>Rabatt</x:v>
      </x:c>
      <x:c r="F47" s="10" t="n">
        <x:v>-1.43</x:v>
      </x:c>
      <x:c r="G47" s="10" t="n">
        <x:v>0</x:v>
      </x:c>
      <x:c r="H47" s="10" t="n">
        <x:v>-1.43</x:v>
      </x:c>
      <x:c r="I47" t="str">
        <x:v>Gemeinschaft</x:v>
      </x:c>
      <x:c r="J47" s="10" t="n">
        <x:v>-0.95</x:v>
      </x:c>
      <x:c r="K47" t="str"/>
    </x:row>
    <x:row r="48">
      <x:c r="A48" t="str">
        <x:v>BON-20260716-002</x:v>
      </x:c>
      <x:c r="B48" t="n">
        <x:v>18</x:v>
      </x:c>
      <x:c r="C48" t="str">
        <x:v>Wolt+ Servicegebühr-Rabatt 19 %</x:v>
      </x:c>
      <x:c r="D48" t="n">
        <x:v>1</x:v>
      </x:c>
      <x:c r="E48" t="str">
        <x:v>Rabatt</x:v>
      </x:c>
      <x:c r="F48" s="10" t="n">
        <x:v>-0.01</x:v>
      </x:c>
      <x:c r="G48" s="10" t="n">
        <x:v>0</x:v>
      </x:c>
      <x:c r="H48" s="10" t="n">
        <x:v>-0.01</x:v>
      </x:c>
      <x:c r="I48" t="str">
        <x:v>Ausgeschlossen</x:v>
      </x:c>
      <x:c r="J48" s="10" t="n">
        <x:v>-0.01</x:v>
      </x:c>
      <x:c r="K48" t="str"/>
    </x:row>
    <x:row r="49">
      <x:c r="A49" t="str">
        <x:v>BON-20260716-002</x:v>
      </x:c>
      <x:c r="B49" t="n">
        <x:v>19</x:v>
      </x:c>
      <x:c r="C49" t="str">
        <x:v>Bestellrabatt</x:v>
      </x:c>
      <x:c r="D49" t="n">
        <x:v>1</x:v>
      </x:c>
      <x:c r="E49" t="str">
        <x:v>Rabatt</x:v>
      </x:c>
      <x:c r="F49" s="10" t="n">
        <x:v>-4.02</x:v>
      </x:c>
      <x:c r="G49" s="10" t="n">
        <x:v>0</x:v>
      </x:c>
      <x:c r="H49" s="10" t="n">
        <x:v>-4.02</x:v>
      </x:c>
      <x:c r="I49" t="str">
        <x:v>Gemeinschaft</x:v>
      </x:c>
      <x:c r="J49" s="10" t="n">
        <x:v>-2.68</x:v>
      </x:c>
      <x:c r="K49" t="str"/>
    </x:row>
    <x:row r="50">
      <x:c r="A50" t="str">
        <x:v>GUT-20260716-001</x:v>
      </x:c>
      <x:c r="B50" t="n">
        <x:v>1</x:v>
      </x:c>
      <x:c r="C50" t="str">
        <x:v>Gutschrift Kinder-Apfel (Qualitätsreklamation)</x:v>
      </x:c>
      <x:c r="D50" t="n">
        <x:v>0.9</x:v>
      </x:c>
      <x:c r="E50" t="str">
        <x:v>Anteil</x:v>
      </x:c>
      <x:c r="F50" s="10" t="n">
        <x:v>-3.61</x:v>
      </x:c>
      <x:c r="G50" s="10" t="n">
        <x:v>0</x:v>
      </x:c>
      <x:c r="H50" s="10" t="n">
        <x:v>-3.61</x:v>
      </x:c>
      <x:c r="I50" t="str">
        <x:v>Gemeinschaft</x:v>
      </x:c>
      <x:c r="J50" s="10" t="n">
        <x:v>0</x:v>
      </x:c>
      <x:c r="K50" t="str"/>
    </x:row>
    <x:row r="51">
      <x:c r="A51" t="str">
        <x:v>BON-20260717-001</x:v>
      </x:c>
      <x:c r="B51" t="n">
        <x:v>1</x:v>
      </x:c>
      <x:c r="C51" t="str">
        <x:v>Matjesfilets</x:v>
      </x:c>
      <x:c r="D51" t="n">
        <x:v>1</x:v>
      </x:c>
      <x:c r="E51" t="str">
        <x:v>Sammelposition</x:v>
      </x:c>
      <x:c r="F51" s="10" t="n">
        <x:v>25</x:v>
      </x:c>
      <x:c r="G51" s="10" t="n">
        <x:v>0</x:v>
      </x:c>
      <x:c r="H51" s="10" t="n">
        <x:v>25</x:v>
      </x:c>
      <x:c r="I51" t="str">
        <x:v>Gemeinschaft</x:v>
      </x:c>
      <x:c r="J51" s="10" t="n">
        <x:v>0</x:v>
      </x:c>
      <x:c r="K51" t="str">
        <x:v>Bis zum Originalbon als Sammelposition geführt</x:v>
      </x:c>
    </x:row>
    <x:row r="52">
      <x:c r="A52" t="str">
        <x:v>BON-20260717-002</x:v>
      </x:c>
      <x:c r="B52" t="n">
        <x:v>1</x:v>
      </x:c>
      <x:c r="C52" t="str">
        <x:v>Kembrot</x:v>
      </x:c>
      <x:c r="D52" t="n">
        <x:v>1</x:v>
      </x:c>
      <x:c r="E52" t="str">
        <x:v>Stk.</x:v>
      </x:c>
      <x:c r="F52" s="10" t="n">
        <x:v>16.79</x:v>
      </x:c>
      <x:c r="G52" s="10" t="n">
        <x:v>-1.54</x:v>
      </x:c>
      <x:c r="H52" s="10" t="n">
        <x:v>15.25</x:v>
      </x:c>
      <x:c r="I52" t="str">
        <x:v>Gemeinschaft</x:v>
      </x:c>
      <x:c r="J52" s="10" t="n">
        <x:v>0</x:v>
      </x:c>
      <x:c r="K52" t="str"/>
    </x:row>
    <x:row r="53">
      <x:c r="A53" t="str">
        <x:v>BON-20260717-002</x:v>
      </x:c>
      <x:c r="B53" t="n">
        <x:v>2</x:v>
      </x:c>
      <x:c r="C53" t="str">
        <x:v>Laugenbrezel</x:v>
      </x:c>
      <x:c r="D53" t="n">
        <x:v>1</x:v>
      </x:c>
      <x:c r="E53" t="str">
        <x:v>Stk.</x:v>
      </x:c>
      <x:c r="F53" s="10" t="n">
        <x:v>0.99</x:v>
      </x:c>
      <x:c r="G53" s="10" t="n">
        <x:v>-0.09</x:v>
      </x:c>
      <x:c r="H53" s="10" t="n">
        <x:v>0.9</x:v>
      </x:c>
      <x:c r="I53" t="str">
        <x:v>Ausgeschlossen</x:v>
      </x:c>
      <x:c r="J53" s="10" t="n">
        <x:v>0.9</x:v>
      </x:c>
      <x:c r="K53" t="str"/>
    </x:row>
    <x:row r="54">
      <x:c r="A54" t="str">
        <x:v>BON-20260717-002</x:v>
      </x:c>
      <x:c r="B54" t="n">
        <x:v>3</x:v>
      </x:c>
      <x:c r="C54" t="str">
        <x:v>Saatenbrötchen</x:v>
      </x:c>
      <x:c r="D54" t="n">
        <x:v>1</x:v>
      </x:c>
      <x:c r="E54" t="str">
        <x:v>Stk.</x:v>
      </x:c>
      <x:c r="F54" s="10" t="n">
        <x:v>1.49</x:v>
      </x:c>
      <x:c r="G54" s="10" t="n">
        <x:v>-0.14</x:v>
      </x:c>
      <x:c r="H54" s="10" t="n">
        <x:v>1.35</x:v>
      </x:c>
      <x:c r="I54" t="str">
        <x:v>Ausgeschlossen</x:v>
      </x:c>
      <x:c r="J54" s="10" t="n">
        <x:v>1.35</x:v>
      </x:c>
      <x:c r="K54" t="str"/>
    </x:row>
    <x:row r="55">
      <x:c r="A55" t="str">
        <x:v>BON-20260717-002</x:v>
      </x:c>
      <x:c r="B55" t="n">
        <x:v>4</x:v>
      </x:c>
      <x:c r="C55" t="str">
        <x:v>Dinkel-Früchtebrötchen</x:v>
      </x:c>
      <x:c r="D55" t="n">
        <x:v>1</x:v>
      </x:c>
      <x:c r="E55" t="str">
        <x:v>Stk.</x:v>
      </x:c>
      <x:c r="F55" s="10" t="n">
        <x:v>1.89</x:v>
      </x:c>
      <x:c r="G55" s="10" t="n">
        <x:v>-0.17</x:v>
      </x:c>
      <x:c r="H55" s="10" t="n">
        <x:v>1.72</x:v>
      </x:c>
      <x:c r="I55" t="str">
        <x:v>Ausgeschlossen</x:v>
      </x:c>
      <x:c r="J55" s="10" t="n">
        <x:v>1.72</x:v>
      </x:c>
      <x:c r="K55" t="str"/>
    </x:row>
    <x:row r="56">
      <x:c r="A56" t="str">
        <x:v>BON-20260717-002</x:v>
      </x:c>
      <x:c r="B56" t="n">
        <x:v>5</x:v>
      </x:c>
      <x:c r="C56" t="str">
        <x:v>Vollkorn Kruste</x:v>
      </x:c>
      <x:c r="D56" t="n">
        <x:v>1</x:v>
      </x:c>
      <x:c r="E56" t="str">
        <x:v>Stk.</x:v>
      </x:c>
      <x:c r="F56" s="10" t="n">
        <x:v>5.99</x:v>
      </x:c>
      <x:c r="G56" s="10" t="n">
        <x:v>-0.55</x:v>
      </x:c>
      <x:c r="H56" s="10" t="n">
        <x:v>5.44</x:v>
      </x:c>
      <x:c r="I56" t="str">
        <x:v>Gemeinschaft</x:v>
      </x:c>
      <x:c r="J56" s="10" t="n">
        <x:v>0</x:v>
      </x:c>
      <x:c r="K56" t="str"/>
    </x:row>
    <x:row r="57">
      <x:c r="A57" t="str">
        <x:v>BON-20260717-002</x:v>
      </x:c>
      <x:c r="B57" t="n">
        <x:v>6</x:v>
      </x:c>
      <x:c r="C57" t="str">
        <x:v>Gouda jung</x:v>
      </x:c>
      <x:c r="D57" t="n">
        <x:v>1</x:v>
      </x:c>
      <x:c r="E57" t="str">
        <x:v>Stk.</x:v>
      </x:c>
      <x:c r="F57" s="10" t="n">
        <x:v>3.25</x:v>
      </x:c>
      <x:c r="G57" s="10" t="n">
        <x:v>-0.3</x:v>
      </x:c>
      <x:c r="H57" s="10" t="n">
        <x:v>2.95</x:v>
      </x:c>
      <x:c r="I57" t="str">
        <x:v>Gemeinschaft</x:v>
      </x:c>
      <x:c r="J57" s="10" t="n">
        <x:v>0</x:v>
      </x:c>
      <x:c r="K57" t="str"/>
    </x:row>
    <x:row r="58">
      <x:c r="A58" t="str">
        <x:v>BON-20260717-002</x:v>
      </x:c>
      <x:c r="B58" t="n">
        <x:v>7</x:v>
      </x:c>
      <x:c r="C58" t="str">
        <x:v>Saatenbrot</x:v>
      </x:c>
      <x:c r="D58" t="n">
        <x:v>1</x:v>
      </x:c>
      <x:c r="E58" t="str">
        <x:v>Stk.</x:v>
      </x:c>
      <x:c r="F58" s="10" t="n">
        <x:v>5.49</x:v>
      </x:c>
      <x:c r="G58" s="10" t="n">
        <x:v>-0.51</x:v>
      </x:c>
      <x:c r="H58" s="10" t="n">
        <x:v>4.98</x:v>
      </x:c>
      <x:c r="I58" t="str">
        <x:v>Gemeinschaft</x:v>
      </x:c>
      <x:c r="J58" s="10" t="n">
        <x:v>0</x:v>
      </x:c>
      <x:c r="K58" t="str"/>
    </x:row>
    <x:row r="59">
      <x:c r="A59" t="str">
        <x:v>BON-20260717-002</x:v>
      </x:c>
      <x:c r="B59" t="n">
        <x:v>8</x:v>
      </x:c>
      <x:c r="C59" t="str">
        <x:v>Hugo</x:v>
      </x:c>
      <x:c r="D59" t="n">
        <x:v>1</x:v>
      </x:c>
      <x:c r="E59" t="str">
        <x:v>Stk.</x:v>
      </x:c>
      <x:c r="F59" s="10" t="n">
        <x:v>4.87</x:v>
      </x:c>
      <x:c r="G59" s="10" t="n">
        <x:v>-0.45</x:v>
      </x:c>
      <x:c r="H59" s="10" t="n">
        <x:v>4.42</x:v>
      </x:c>
      <x:c r="I59" t="str">
        <x:v>Gemeinschaft</x:v>
      </x:c>
      <x:c r="J59" s="10" t="n">
        <x:v>0</x:v>
      </x:c>
      <x:c r="K59" t="str"/>
    </x:row>
    <x:row r="60">
      <x:c r="A60" t="str">
        <x:v>BON-20260717-002</x:v>
      </x:c>
      <x:c r="B60" t="n">
        <x:v>9</x:v>
      </x:c>
      <x:c r="C60" t="str">
        <x:v>Allgäuer Tilsiter</x:v>
      </x:c>
      <x:c r="D60" t="n">
        <x:v>1</x:v>
      </x:c>
      <x:c r="E60" t="str">
        <x:v>Stk.</x:v>
      </x:c>
      <x:c r="F60" s="10" t="n">
        <x:v>3.01</x:v>
      </x:c>
      <x:c r="G60" s="10" t="n">
        <x:v>-0.28</x:v>
      </x:c>
      <x:c r="H60" s="10" t="n">
        <x:v>2.73</x:v>
      </x:c>
      <x:c r="I60" t="str">
        <x:v>Gemeinschaft</x:v>
      </x:c>
      <x:c r="J60" s="10" t="n">
        <x:v>0</x:v>
      </x:c>
      <x:c r="K60" t="str"/>
    </x:row>
    <x:row r="61">
      <x:c r="A61" t="str">
        <x:v>BON-20260717-002</x:v>
      </x:c>
      <x:c r="B61" t="n">
        <x:v>10</x:v>
      </x:c>
      <x:c r="C61" t="str">
        <x:v>Schweizer Alpiko</x:v>
      </x:c>
      <x:c r="D61" t="n">
        <x:v>1</x:v>
      </x:c>
      <x:c r="E61" t="str">
        <x:v>Stk.</x:v>
      </x:c>
      <x:c r="F61" s="10" t="n">
        <x:v>5.92</x:v>
      </x:c>
      <x:c r="G61" s="10" t="n">
        <x:v>-0.54</x:v>
      </x:c>
      <x:c r="H61" s="10" t="n">
        <x:v>5.38</x:v>
      </x:c>
      <x:c r="I61" t="str">
        <x:v>Gemeinschaft</x:v>
      </x:c>
      <x:c r="J61" s="10" t="n">
        <x:v>0</x:v>
      </x:c>
      <x:c r="K61" t="str"/>
    </x:row>
    <x:row r="62">
      <x:c r="A62" t="str">
        <x:v>BON-20260717-002</x:v>
      </x:c>
      <x:c r="B62" t="n">
        <x:v>11</x:v>
      </x:c>
      <x:c r="C62" t="str">
        <x:v>Koriander Käse</x:v>
      </x:c>
      <x:c r="D62" t="n">
        <x:v>1</x:v>
      </x:c>
      <x:c r="E62" t="str">
        <x:v>Stk.</x:v>
      </x:c>
      <x:c r="F62" s="10" t="n">
        <x:v>5.26</x:v>
      </x:c>
      <x:c r="G62" s="10" t="n">
        <x:v>-0.48</x:v>
      </x:c>
      <x:c r="H62" s="10" t="n">
        <x:v>4.78</x:v>
      </x:c>
      <x:c r="I62" t="str">
        <x:v>Gemeinschaft</x:v>
      </x:c>
      <x:c r="J62" s="10" t="n">
        <x:v>0</x:v>
      </x:c>
      <x:c r="K62" t="str"/>
    </x:row>
    <x:row r="63">
      <x:c r="A63" t="str">
        <x:v>BON-20260717-002</x:v>
      </x:c>
      <x:c r="B63" t="n">
        <x:v>12</x:v>
      </x:c>
      <x:c r="C63" t="str">
        <x:v>Brie Petit Norma</x:v>
      </x:c>
      <x:c r="D63" t="n">
        <x:v>1</x:v>
      </x:c>
      <x:c r="E63" t="str">
        <x:v>Stk.</x:v>
      </x:c>
      <x:c r="F63" s="10" t="n">
        <x:v>3.54</x:v>
      </x:c>
      <x:c r="G63" s="10" t="n">
        <x:v>-0.33</x:v>
      </x:c>
      <x:c r="H63" s="10" t="n">
        <x:v>3.21</x:v>
      </x:c>
      <x:c r="I63" t="str">
        <x:v>Gemeinschaft</x:v>
      </x:c>
      <x:c r="J63" s="10" t="n">
        <x:v>0</x:v>
      </x:c>
      <x:c r="K63" t="str"/>
    </x:row>
    <x:row r="64">
      <x:c r="A64" t="str">
        <x:v>BON-20260717-002</x:v>
      </x:c>
      <x:c r="B64" t="n">
        <x:v>13</x:v>
      </x:c>
      <x:c r="C64" t="str">
        <x:v>Brie Petit Norma</x:v>
      </x:c>
      <x:c r="D64" t="n">
        <x:v>1</x:v>
      </x:c>
      <x:c r="E64" t="str">
        <x:v>Stk.</x:v>
      </x:c>
      <x:c r="F64" s="10" t="n">
        <x:v>3.76</x:v>
      </x:c>
      <x:c r="G64" s="10" t="n">
        <x:v>-0.35</x:v>
      </x:c>
      <x:c r="H64" s="10" t="n">
        <x:v>3.41</x:v>
      </x:c>
      <x:c r="I64" t="str">
        <x:v>Gemeinschaft</x:v>
      </x:c>
      <x:c r="J64" s="10" t="n">
        <x:v>0</x:v>
      </x:c>
      <x:c r="K64" t="str"/>
    </x:row>
    <x:row r="65">
      <x:c r="A65" t="str">
        <x:v>BON-20260717-002</x:v>
      </x:c>
      <x:c r="B65" t="n">
        <x:v>14</x:v>
      </x:c>
      <x:c r="C65" t="str">
        <x:v>Emmentaler</x:v>
      </x:c>
      <x:c r="D65" t="n">
        <x:v>1</x:v>
      </x:c>
      <x:c r="E65" t="str">
        <x:v>Stk.</x:v>
      </x:c>
      <x:c r="F65" s="10" t="n">
        <x:v>4.96</x:v>
      </x:c>
      <x:c r="G65" s="10" t="n">
        <x:v>-0.46</x:v>
      </x:c>
      <x:c r="H65" s="10" t="n">
        <x:v>4.5</x:v>
      </x:c>
      <x:c r="I65" t="str">
        <x:v>Gemeinschaft</x:v>
      </x:c>
      <x:c r="J65" s="10" t="n">
        <x:v>0</x:v>
      </x:c>
      <x:c r="K65" t="str"/>
    </x:row>
    <x:row r="66">
      <x:c r="A66" t="str">
        <x:v>BON-20260717-002</x:v>
      </x:c>
      <x:c r="B66" t="n">
        <x:v>15</x:v>
      </x:c>
      <x:c r="C66" t="str">
        <x:v>Griekenschmied</x:v>
      </x:c>
      <x:c r="D66" t="n">
        <x:v>1</x:v>
      </x:c>
      <x:c r="E66" t="str">
        <x:v>Stk.</x:v>
      </x:c>
      <x:c r="F66" s="10" t="n">
        <x:v>4.54</x:v>
      </x:c>
      <x:c r="G66" s="10" t="n">
        <x:v>-0.42</x:v>
      </x:c>
      <x:c r="H66" s="10" t="n">
        <x:v>4.12</x:v>
      </x:c>
      <x:c r="I66" t="str">
        <x:v>Gemeinschaft</x:v>
      </x:c>
      <x:c r="J66" s="10" t="n">
        <x:v>0</x:v>
      </x:c>
      <x:c r="K66" t="str"/>
    </x:row>
    <x:row r="67">
      <x:c r="A67" t="str">
        <x:v>BON-20260717-002</x:v>
      </x:c>
      <x:c r="B67" t="n">
        <x:v>16</x:v>
      </x:c>
      <x:c r="C67" t="str">
        <x:v>Rote Zwiebeln</x:v>
      </x:c>
      <x:c r="D67" t="n">
        <x:v>1</x:v>
      </x:c>
      <x:c r="E67" t="str">
        <x:v>Stk.</x:v>
      </x:c>
      <x:c r="F67" s="10" t="n">
        <x:v>1.63</x:v>
      </x:c>
      <x:c r="G67" s="10" t="n">
        <x:v>-0.15</x:v>
      </x:c>
      <x:c r="H67" s="10" t="n">
        <x:v>1.48</x:v>
      </x:c>
      <x:c r="I67" t="str">
        <x:v>Gemeinschaft</x:v>
      </x:c>
      <x:c r="J67" s="10" t="n">
        <x:v>0</x:v>
      </x:c>
      <x:c r="K67" t="str"/>
    </x:row>
    <x:row r="68">
      <x:c r="A68" t="str">
        <x:v>BON-20260717-002</x:v>
      </x:c>
      <x:c r="B68" t="n">
        <x:v>17</x:v>
      </x:c>
      <x:c r="C68" t="str">
        <x:v>Salatgurke</x:v>
      </x:c>
      <x:c r="D68" t="n">
        <x:v>1</x:v>
      </x:c>
      <x:c r="E68" t="str">
        <x:v>Stk.</x:v>
      </x:c>
      <x:c r="F68" s="10" t="n">
        <x:v>1.99</x:v>
      </x:c>
      <x:c r="G68" s="10" t="n">
        <x:v>-0.18</x:v>
      </x:c>
      <x:c r="H68" s="10" t="n">
        <x:v>1.81</x:v>
      </x:c>
      <x:c r="I68" t="str">
        <x:v>Gemeinschaft</x:v>
      </x:c>
      <x:c r="J68" s="10" t="n">
        <x:v>0</x:v>
      </x:c>
      <x:c r="K68" t="str"/>
    </x:row>
    <x:row r="69">
      <x:c r="A69" t="str">
        <x:v>BON-20260717-002</x:v>
      </x:c>
      <x:c r="B69" t="n">
        <x:v>18</x:v>
      </x:c>
      <x:c r="C69" t="str">
        <x:v>Rucola-Salat</x:v>
      </x:c>
      <x:c r="D69" t="n">
        <x:v>1</x:v>
      </x:c>
      <x:c r="E69" t="str">
        <x:v>Stk.</x:v>
      </x:c>
      <x:c r="F69" s="10" t="n">
        <x:v>1.99</x:v>
      </x:c>
      <x:c r="G69" s="10" t="n">
        <x:v>-0.18</x:v>
      </x:c>
      <x:c r="H69" s="10" t="n">
        <x:v>1.81</x:v>
      </x:c>
      <x:c r="I69" t="str">
        <x:v>Gemeinschaft</x:v>
      </x:c>
      <x:c r="J69" s="10" t="n">
        <x:v>0</x:v>
      </x:c>
      <x:c r="K69" t="str"/>
    </x:row>
    <x:row r="70">
      <x:c r="A70" t="str">
        <x:v>BON-20260717-002</x:v>
      </x:c>
      <x:c r="B70" t="n">
        <x:v>19</x:v>
      </x:c>
      <x:c r="C70" t="str">
        <x:v>Radieschen</x:v>
      </x:c>
      <x:c r="D70" t="n">
        <x:v>1</x:v>
      </x:c>
      <x:c r="E70" t="str">
        <x:v>Stk.</x:v>
      </x:c>
      <x:c r="F70" s="10" t="n">
        <x:v>1.99</x:v>
      </x:c>
      <x:c r="G70" s="10" t="n">
        <x:v>-0.18</x:v>
      </x:c>
      <x:c r="H70" s="10" t="n">
        <x:v>1.81</x:v>
      </x:c>
      <x:c r="I70" t="str">
        <x:v>Gemeinschaft</x:v>
      </x:c>
      <x:c r="J70" s="10" t="n">
        <x:v>0</x:v>
      </x:c>
      <x:c r="K70" t="str"/>
    </x:row>
    <x:row r="71">
      <x:c r="A71" t="str">
        <x:v>BON-20260717-002</x:v>
      </x:c>
      <x:c r="B71" t="n">
        <x:v>20</x:v>
      </x:c>
      <x:c r="C71" t="str">
        <x:v>Ramiro Tüte</x:v>
      </x:c>
      <x:c r="D71" t="n">
        <x:v>1</x:v>
      </x:c>
      <x:c r="E71" t="str">
        <x:v>Stk.</x:v>
      </x:c>
      <x:c r="F71" s="10" t="n">
        <x:v>1.5</x:v>
      </x:c>
      <x:c r="G71" s="10" t="n">
        <x:v>-0.14</x:v>
      </x:c>
      <x:c r="H71" s="10" t="n">
        <x:v>1.36</x:v>
      </x:c>
      <x:c r="I71" t="str">
        <x:v>Gemeinschaft</x:v>
      </x:c>
      <x:c r="J71" s="10" t="n">
        <x:v>0</x:v>
      </x:c>
      <x:c r="K71" t="str"/>
    </x:row>
    <x:row r="72">
      <x:c r="A72" t="str">
        <x:v>BON-20260718-001</x:v>
      </x:c>
      <x:c r="B72" t="n">
        <x:v>1</x:v>
      </x:c>
      <x:c r="C72" t="str">
        <x:v>Grey Grauburgunder 0,75 l</x:v>
      </x:c>
      <x:c r="D72" t="n">
        <x:v>1</x:v>
      </x:c>
      <x:c r="E72" t="str">
        <x:v>Position</x:v>
      </x:c>
      <x:c r="F72" s="10" t="n">
        <x:v>4.99</x:v>
      </x:c>
      <x:c r="G72" s="10" t="n">
        <x:v>0</x:v>
      </x:c>
      <x:c r="H72" s="10" t="n">
        <x:v>4.99</x:v>
      </x:c>
      <x:c r="I72" t="str">
        <x:v>Gemeinschaft</x:v>
      </x:c>
      <x:c r="J72" s="10" t="n">
        <x:v>0</x:v>
      </x:c>
      <x:c r="K72" t="str"/>
    </x:row>
    <x:row r="73">
      <x:c r="A73" t="str">
        <x:v>BON-20260718-001</x:v>
      </x:c>
      <x:c r="B73" t="n">
        <x:v>2</x:v>
      </x:c>
      <x:c r="C73" t="str">
        <x:v>Macho Mas Tinto 0,75 l</x:v>
      </x:c>
      <x:c r="D73" t="n">
        <x:v>1</x:v>
      </x:c>
      <x:c r="E73" t="str">
        <x:v>Position</x:v>
      </x:c>
      <x:c r="F73" s="10" t="n">
        <x:v>5.99</x:v>
      </x:c>
      <x:c r="G73" s="10" t="n">
        <x:v>0</x:v>
      </x:c>
      <x:c r="H73" s="10" t="n">
        <x:v>5.99</x:v>
      </x:c>
      <x:c r="I73" t="str">
        <x:v>Gemeinschaft</x:v>
      </x:c>
      <x:c r="J73" s="10" t="n">
        <x:v>0</x:v>
      </x:c>
      <x:c r="K73" t="str"/>
    </x:row>
    <x:row r="74">
      <x:c r="A74" t="str">
        <x:v>BON-20260718-001</x:v>
      </x:c>
      <x:c r="B74" t="n">
        <x:v>3</x:v>
      </x:c>
      <x:c r="C74" t="str">
        <x:v>Coca-Cola 1 × 1,25 l</x:v>
      </x:c>
      <x:c r="D74" t="n">
        <x:v>1</x:v>
      </x:c>
      <x:c r="E74" t="str">
        <x:v>Position</x:v>
      </x:c>
      <x:c r="F74" s="10" t="n">
        <x:v>1.59</x:v>
      </x:c>
      <x:c r="G74" s="10" t="n">
        <x:v>0</x:v>
      </x:c>
      <x:c r="H74" s="10" t="n">
        <x:v>1.59</x:v>
      </x:c>
      <x:c r="I74" t="str">
        <x:v>Gemeinschaft</x:v>
      </x:c>
      <x:c r="J74" s="10" t="n">
        <x:v>0</x:v>
      </x:c>
      <x:c r="K74" t="str"/>
    </x:row>
    <x:row r="75">
      <x:c r="A75" t="str">
        <x:v>BON-20260718-001</x:v>
      </x:c>
      <x:c r="B75" t="n">
        <x:v>4</x:v>
      </x:c>
      <x:c r="C75" t="str">
        <x:v>EW-Pfand 0,25 EUR</x:v>
      </x:c>
      <x:c r="D75" t="n">
        <x:v>1</x:v>
      </x:c>
      <x:c r="E75" t="str">
        <x:v>Position</x:v>
      </x:c>
      <x:c r="F75" s="10" t="n">
        <x:v>0.25</x:v>
      </x:c>
      <x:c r="G75" s="10" t="n">
        <x:v>0</x:v>
      </x:c>
      <x:c r="H75" s="10" t="n">
        <x:v>0.25</x:v>
      </x:c>
      <x:c r="I75" t="str">
        <x:v>Gemeinschaft</x:v>
      </x:c>
      <x:c r="J75" s="10" t="n">
        <x:v>0</x:v>
      </x:c>
      <x:c r="K75" t="str"/>
    </x:row>
    <x:row r="76">
      <x:c r="A76" t="str">
        <x:v>BON-20260718-001</x:v>
      </x:c>
      <x:c r="B76" t="n">
        <x:v>5</x:v>
      </x:c>
      <x:c r="C76" t="str">
        <x:v>Coca-Cola Zero 1 × 1,25 l</x:v>
      </x:c>
      <x:c r="D76" t="n">
        <x:v>1</x:v>
      </x:c>
      <x:c r="E76" t="str">
        <x:v>Position</x:v>
      </x:c>
      <x:c r="F76" s="10" t="n">
        <x:v>1.59</x:v>
      </x:c>
      <x:c r="G76" s="10" t="n">
        <x:v>0</x:v>
      </x:c>
      <x:c r="H76" s="10" t="n">
        <x:v>1.59</x:v>
      </x:c>
      <x:c r="I76" t="str">
        <x:v>Gemeinschaft</x:v>
      </x:c>
      <x:c r="J76" s="10" t="n">
        <x:v>0</x:v>
      </x:c>
      <x:c r="K76" t="str"/>
    </x:row>
    <x:row r="77">
      <x:c r="A77" t="str">
        <x:v>BON-20260718-001</x:v>
      </x:c>
      <x:c r="B77" t="n">
        <x:v>6</x:v>
      </x:c>
      <x:c r="C77" t="str">
        <x:v>EW-Pfand 0,25 EUR</x:v>
      </x:c>
      <x:c r="D77" t="n">
        <x:v>1</x:v>
      </x:c>
      <x:c r="E77" t="str">
        <x:v>Position</x:v>
      </x:c>
      <x:c r="F77" s="10" t="n">
        <x:v>0.25</x:v>
      </x:c>
      <x:c r="G77" s="10" t="n">
        <x:v>0</x:v>
      </x:c>
      <x:c r="H77" s="10" t="n">
        <x:v>0.25</x:v>
      </x:c>
      <x:c r="I77" t="str">
        <x:v>Gemeinschaft</x:v>
      </x:c>
      <x:c r="J77" s="10" t="n">
        <x:v>0</x:v>
      </x:c>
      <x:c r="K77" t="str"/>
    </x:row>
    <x:row r="78">
      <x:c r="A78" t="str">
        <x:v>BON-20260718-001</x:v>
      </x:c>
      <x:c r="B78" t="n">
        <x:v>7</x:v>
      </x:c>
      <x:c r="C78" t="str">
        <x:v>BioBio Joghurt 3,8 % 500 g</x:v>
      </x:c>
      <x:c r="D78" t="n">
        <x:v>1</x:v>
      </x:c>
      <x:c r="E78" t="str">
        <x:v>Position</x:v>
      </x:c>
      <x:c r="F78" s="10" t="n">
        <x:v>2.06</x:v>
      </x:c>
      <x:c r="G78" s="10" t="n">
        <x:v>0</x:v>
      </x:c>
      <x:c r="H78" s="10" t="n">
        <x:v>2.06</x:v>
      </x:c>
      <x:c r="I78" t="str">
        <x:v>Gemeinschaft</x:v>
      </x:c>
      <x:c r="J78" s="10" t="n">
        <x:v>0</x:v>
      </x:c>
      <x:c r="K78" t="str"/>
    </x:row>
    <x:row r="79">
      <x:c r="A79" t="str">
        <x:v>BON-20260718-001</x:v>
      </x:c>
      <x:c r="B79" t="n">
        <x:v>8</x:v>
      </x:c>
      <x:c r="C79" t="str">
        <x:v>BioBio Eier 10 St.</x:v>
      </x:c>
      <x:c r="D79" t="n">
        <x:v>1</x:v>
      </x:c>
      <x:c r="E79" t="str">
        <x:v>Position</x:v>
      </x:c>
      <x:c r="F79" s="10" t="n">
        <x:v>7.18</x:v>
      </x:c>
      <x:c r="G79" s="10" t="n">
        <x:v>0</x:v>
      </x:c>
      <x:c r="H79" s="10" t="n">
        <x:v>7.18</x:v>
      </x:c>
      <x:c r="I79" t="str">
        <x:v>Gemeinschaft</x:v>
      </x:c>
      <x:c r="J79" s="10" t="n">
        <x:v>0</x:v>
      </x:c>
      <x:c r="K79" t="str"/>
    </x:row>
    <x:row r="80">
      <x:c r="A80" t="str">
        <x:v>BON-20260718-001</x:v>
      </x:c>
      <x:c r="B80" t="n">
        <x:v>9</x:v>
      </x:c>
      <x:c r="C80" t="str">
        <x:v>Discount Cookies sortiert 200 g</x:v>
      </x:c>
      <x:c r="D80" t="n">
        <x:v>1</x:v>
      </x:c>
      <x:c r="E80" t="str">
        <x:v>Position</x:v>
      </x:c>
      <x:c r="F80" s="10" t="n">
        <x:v>1.79</x:v>
      </x:c>
      <x:c r="G80" s="10" t="n">
        <x:v>0</x:v>
      </x:c>
      <x:c r="H80" s="10" t="n">
        <x:v>1.79</x:v>
      </x:c>
      <x:c r="I80" t="str">
        <x:v>Gemeinschaft</x:v>
      </x:c>
      <x:c r="J80" s="10" t="n">
        <x:v>0</x:v>
      </x:c>
      <x:c r="K80" t="str"/>
    </x:row>
    <x:row r="81">
      <x:c r="A81" t="str">
        <x:v>BON-20260718-001</x:v>
      </x:c>
      <x:c r="B81" t="n">
        <x:v>10</x:v>
      </x:c>
      <x:c r="C81" t="str">
        <x:v>BioBio Beeren sortiert 300 g</x:v>
      </x:c>
      <x:c r="D81" t="n">
        <x:v>1</x:v>
      </x:c>
      <x:c r="E81" t="str">
        <x:v>Position</x:v>
      </x:c>
      <x:c r="F81" s="10" t="n">
        <x:v>7.38</x:v>
      </x:c>
      <x:c r="G81" s="10" t="n">
        <x:v>0</x:v>
      </x:c>
      <x:c r="H81" s="10" t="n">
        <x:v>7.38</x:v>
      </x:c>
      <x:c r="I81" t="str">
        <x:v>Gemeinschaft</x:v>
      </x:c>
      <x:c r="J81" s="10" t="n">
        <x:v>0</x:v>
      </x:c>
      <x:c r="K81" t="str"/>
    </x:row>
    <x:row r="82">
      <x:c r="A82" t="str">
        <x:v>BON-20260718-001</x:v>
      </x:c>
      <x:c r="B82" t="n">
        <x:v>11</x:v>
      </x:c>
      <x:c r="C82" t="str">
        <x:v>Mikado sortiert 75 g</x:v>
      </x:c>
      <x:c r="D82" t="n">
        <x:v>1</x:v>
      </x:c>
      <x:c r="E82" t="str">
        <x:v>Position</x:v>
      </x:c>
      <x:c r="F82" s="10" t="n">
        <x:v>1.49</x:v>
      </x:c>
      <x:c r="G82" s="10" t="n">
        <x:v>0</x:v>
      </x:c>
      <x:c r="H82" s="10" t="n">
        <x:v>1.49</x:v>
      </x:c>
      <x:c r="I82" t="str">
        <x:v>Gemeinschaft</x:v>
      </x:c>
      <x:c r="J82" s="10" t="n">
        <x:v>0</x:v>
      </x:c>
      <x:c r="K82" t="str"/>
    </x:row>
    <x:row r="83">
      <x:c r="A83" t="str">
        <x:v>BON-20260718-001</x:v>
      </x:c>
      <x:c r="B83" t="n">
        <x:v>12</x:v>
      </x:c>
      <x:c r="C83" t="str">
        <x:v>Artikelrabatt</x:v>
      </x:c>
      <x:c r="D83" t="n">
        <x:v>1</x:v>
      </x:c>
      <x:c r="E83" t="str">
        <x:v>Position</x:v>
      </x:c>
      <x:c r="F83" s="10" t="n">
        <x:v>-0.2</x:v>
      </x:c>
      <x:c r="G83" s="10" t="n">
        <x:v>0</x:v>
      </x:c>
      <x:c r="H83" s="10" t="n">
        <x:v>-0.2</x:v>
      </x:c>
      <x:c r="I83" t="str">
        <x:v>Gemeinschaft</x:v>
      </x:c>
      <x:c r="J83" s="10" t="n">
        <x:v>0</x:v>
      </x:c>
      <x:c r="K83" t="str"/>
    </x:row>
    <x:row r="84">
      <x:c r="A84" t="str">
        <x:v>BON-20260718-001</x:v>
      </x:c>
      <x:c r="B84" t="n">
        <x:v>13</x:v>
      </x:c>
      <x:c r="C84" t="str">
        <x:v>Bautz'ner Senf mittelscharf 200 ml</x:v>
      </x:c>
      <x:c r="D84" t="n">
        <x:v>1</x:v>
      </x:c>
      <x:c r="E84" t="str">
        <x:v>Position</x:v>
      </x:c>
      <x:c r="F84" s="10" t="n">
        <x:v>0.55</x:v>
      </x:c>
      <x:c r="G84" s="10" t="n">
        <x:v>0</x:v>
      </x:c>
      <x:c r="H84" s="10" t="n">
        <x:v>0.55</x:v>
      </x:c>
      <x:c r="I84" t="str">
        <x:v>Gemeinschaft</x:v>
      </x:c>
      <x:c r="J84" s="10" t="n">
        <x:v>0</x:v>
      </x:c>
      <x:c r="K84" t="str"/>
    </x:row>
    <x:row r="85">
      <x:c r="A85" t="str">
        <x:v>BON-20260718-001</x:v>
      </x:c>
      <x:c r="B85" t="n">
        <x:v>14</x:v>
      </x:c>
      <x:c r="C85" t="str">
        <x:v>BioBio Gouda 200 g</x:v>
      </x:c>
      <x:c r="D85" t="n">
        <x:v>1</x:v>
      </x:c>
      <x:c r="E85" t="str">
        <x:v>Position</x:v>
      </x:c>
      <x:c r="F85" s="10" t="n">
        <x:v>1.61</x:v>
      </x:c>
      <x:c r="G85" s="10" t="n">
        <x:v>0</x:v>
      </x:c>
      <x:c r="H85" s="10" t="n">
        <x:v>1.61</x:v>
      </x:c>
      <x:c r="I85" t="str">
        <x:v>Gemeinschaft</x:v>
      </x:c>
      <x:c r="J85" s="10" t="n">
        <x:v>0</x:v>
      </x:c>
      <x:c r="K85" t="str"/>
    </x:row>
    <x:row r="86">
      <x:c r="A86" t="str">
        <x:v>BON-20260718-001</x:v>
      </x:c>
      <x:c r="B86" t="n">
        <x:v>15</x:v>
      </x:c>
      <x:c r="C86" t="str">
        <x:v>Junge Erbsen 1 kg</x:v>
      </x:c>
      <x:c r="D86" t="n">
        <x:v>1</x:v>
      </x:c>
      <x:c r="E86" t="str">
        <x:v>Position</x:v>
      </x:c>
      <x:c r="F86" s="10" t="n">
        <x:v>2.39</x:v>
      </x:c>
      <x:c r="G86" s="10" t="n">
        <x:v>0</x:v>
      </x:c>
      <x:c r="H86" s="10" t="n">
        <x:v>2.39</x:v>
      </x:c>
      <x:c r="I86" t="str">
        <x:v>Gemeinschaft</x:v>
      </x:c>
      <x:c r="J86" s="10" t="n">
        <x:v>0</x:v>
      </x:c>
      <x:c r="K86" t="str"/>
    </x:row>
    <x:row r="87">
      <x:c r="A87" t="str">
        <x:v>BON-20260718-001</x:v>
      </x:c>
      <x:c r="B87" t="n">
        <x:v>16</x:v>
      </x:c>
      <x:c r="C87" t="str">
        <x:v>Langnese Kids Mix 393 ml</x:v>
      </x:c>
      <x:c r="D87" t="n">
        <x:v>1</x:v>
      </x:c>
      <x:c r="E87" t="str">
        <x:v>Position</x:v>
      </x:c>
      <x:c r="F87" s="10" t="n">
        <x:v>4.49</x:v>
      </x:c>
      <x:c r="G87" s="10" t="n">
        <x:v>0</x:v>
      </x:c>
      <x:c r="H87" s="10" t="n">
        <x:v>4.49</x:v>
      </x:c>
      <x:c r="I87" t="str">
        <x:v>Gemeinschaft</x:v>
      </x:c>
      <x:c r="J87" s="10" t="n">
        <x:v>0</x:v>
      </x:c>
      <x:c r="K87" t="str"/>
    </x:row>
    <x:row r="88">
      <x:c r="A88" t="str">
        <x:v>BON-20260718-001</x:v>
      </x:c>
      <x:c r="B88" t="n">
        <x:v>17</x:v>
      </x:c>
      <x:c r="C88" t="str">
        <x:v>Lindt Chocolate Macadamia Sea Salt 150 g</x:v>
      </x:c>
      <x:c r="D88" t="n">
        <x:v>1</x:v>
      </x:c>
      <x:c r="E88" t="str">
        <x:v>Position</x:v>
      </x:c>
      <x:c r="F88" s="10" t="n">
        <x:v>2.99</x:v>
      </x:c>
      <x:c r="G88" s="10" t="n">
        <x:v>0</x:v>
      </x:c>
      <x:c r="H88" s="10" t="n">
        <x:v>2.99</x:v>
      </x:c>
      <x:c r="I88" t="str">
        <x:v>Gemeinschaft</x:v>
      </x:c>
      <x:c r="J88" s="10" t="n">
        <x:v>0</x:v>
      </x:c>
      <x:c r="K88" t="str"/>
    </x:row>
    <x:row r="89">
      <x:c r="A89" t="str">
        <x:v>BON-20260718-001</x:v>
      </x:c>
      <x:c r="B89" t="n">
        <x:v>18</x:v>
      </x:c>
      <x:c r="C89" t="str">
        <x:v>Zetti Schokolade 100 g</x:v>
      </x:c>
      <x:c r="D89" t="n">
        <x:v>1</x:v>
      </x:c>
      <x:c r="E89" t="str">
        <x:v>Position</x:v>
      </x:c>
      <x:c r="F89" s="10" t="n">
        <x:v>2.49</x:v>
      </x:c>
      <x:c r="G89" s="10" t="n">
        <x:v>0</x:v>
      </x:c>
      <x:c r="H89" s="10" t="n">
        <x:v>2.49</x:v>
      </x:c>
      <x:c r="I89" t="str">
        <x:v>Gemeinschaft</x:v>
      </x:c>
      <x:c r="J89" s="10" t="n">
        <x:v>0</x:v>
      </x:c>
      <x:c r="K89" t="str"/>
    </x:row>
    <x:row r="90">
      <x:c r="A90" t="str">
        <x:v>BON-20260718-001</x:v>
      </x:c>
      <x:c r="B90" t="n">
        <x:v>19</x:v>
      </x:c>
      <x:c r="C90" t="str">
        <x:v>Schokolade 100 g</x:v>
      </x:c>
      <x:c r="D90" t="n">
        <x:v>1</x:v>
      </x:c>
      <x:c r="E90" t="str">
        <x:v>Position</x:v>
      </x:c>
      <x:c r="F90" s="10" t="n">
        <x:v>1.89</x:v>
      </x:c>
      <x:c r="G90" s="10" t="n">
        <x:v>0</x:v>
      </x:c>
      <x:c r="H90" s="10" t="n">
        <x:v>1.89</x:v>
      </x:c>
      <x:c r="I90" t="str">
        <x:v>Gemeinschaft</x:v>
      </x:c>
      <x:c r="J90" s="10" t="n">
        <x:v>0</x:v>
      </x:c>
      <x:c r="K90" t="str"/>
    </x:row>
    <x:row r="91">
      <x:c r="A91" t="str">
        <x:v>BON-20260718-001</x:v>
      </x:c>
      <x:c r="B91" t="n">
        <x:v>20</x:v>
      </x:c>
      <x:c r="C91" t="str">
        <x:v>Schokolierte Mini-Schaumküsse 266 g</x:v>
      </x:c>
      <x:c r="D91" t="n">
        <x:v>1</x:v>
      </x:c>
      <x:c r="E91" t="str">
        <x:v>Position</x:v>
      </x:c>
      <x:c r="F91" s="10" t="n">
        <x:v>2.49</x:v>
      </x:c>
      <x:c r="G91" s="10" t="n">
        <x:v>0</x:v>
      </x:c>
      <x:c r="H91" s="10" t="n">
        <x:v>2.49</x:v>
      </x:c>
      <x:c r="I91" t="str">
        <x:v>Gemeinschaft</x:v>
      </x:c>
      <x:c r="J91" s="10" t="n">
        <x:v>0</x:v>
      </x:c>
      <x:c r="K91" t="str"/>
    </x:row>
    <x:row r="92">
      <x:c r="A92" t="str">
        <x:v>BON-20260718-001</x:v>
      </x:c>
      <x:c r="B92" t="n">
        <x:v>21</x:v>
      </x:c>
      <x:c r="C92" t="str">
        <x:v>Discount Schoko-Kekse sortiert 125 g</x:v>
      </x:c>
      <x:c r="D92" t="n">
        <x:v>1</x:v>
      </x:c>
      <x:c r="E92" t="str">
        <x:v>Position</x:v>
      </x:c>
      <x:c r="F92" s="10" t="n">
        <x:v>1.59</x:v>
      </x:c>
      <x:c r="G92" s="10" t="n">
        <x:v>0</x:v>
      </x:c>
      <x:c r="H92" s="10" t="n">
        <x:v>1.59</x:v>
      </x:c>
      <x:c r="I92" t="str">
        <x:v>Gemeinschaft</x:v>
      </x:c>
      <x:c r="J92" s="10" t="n">
        <x:v>0</x:v>
      </x:c>
      <x:c r="K92" t="str"/>
    </x:row>
    <x:row r="93">
      <x:c r="A93" t="str">
        <x:v>BON-20260718-001</x:v>
      </x:c>
      <x:c r="B93" t="n">
        <x:v>22</x:v>
      </x:c>
      <x:c r="C93" t="str">
        <x:v>Mini Laugenmix 763 g</x:v>
      </x:c>
      <x:c r="D93" t="n">
        <x:v>1</x:v>
      </x:c>
      <x:c r="E93" t="str">
        <x:v>Position</x:v>
      </x:c>
      <x:c r="F93" s="10" t="n">
        <x:v>3.49</x:v>
      </x:c>
      <x:c r="G93" s="10" t="n">
        <x:v>0</x:v>
      </x:c>
      <x:c r="H93" s="10" t="n">
        <x:v>3.49</x:v>
      </x:c>
      <x:c r="I93" t="str">
        <x:v>Gemeinschaft</x:v>
      </x:c>
      <x:c r="J93" s="10" t="n">
        <x:v>0</x:v>
      </x:c>
      <x:c r="K93" t="str"/>
    </x:row>
    <x:row r="94">
      <x:c r="A94" t="str">
        <x:v>BON-20260718-001</x:v>
      </x:c>
      <x:c r="B94" t="n">
        <x:v>23</x:v>
      </x:c>
      <x:c r="C94" t="str">
        <x:v>Gratis-Aktion Mini Laugenmix</x:v>
      </x:c>
      <x:c r="D94" t="n">
        <x:v>1</x:v>
      </x:c>
      <x:c r="E94" t="str">
        <x:v>Position</x:v>
      </x:c>
      <x:c r="F94" s="10" t="n">
        <x:v>-3.49</x:v>
      </x:c>
      <x:c r="G94" s="10" t="n">
        <x:v>0</x:v>
      </x:c>
      <x:c r="H94" s="10" t="n">
        <x:v>-3.49</x:v>
      </x:c>
      <x:c r="I94" t="str">
        <x:v>Gemeinschaft</x:v>
      </x:c>
      <x:c r="J94" s="10" t="n">
        <x:v>0</x:v>
      </x:c>
      <x:c r="K94" t="str"/>
    </x:row>
    <x:row r="95">
      <x:c r="A95" t="str">
        <x:v>BON-20260718-001</x:v>
      </x:c>
      <x:c r="B95" t="n">
        <x:v>24</x:v>
      </x:c>
      <x:c r="C95" t="str">
        <x:v>Bio Naturland Speisezwiebeln 1 kg</x:v>
      </x:c>
      <x:c r="D95" t="n">
        <x:v>1</x:v>
      </x:c>
      <x:c r="E95" t="str">
        <x:v>Position</x:v>
      </x:c>
      <x:c r="F95" s="10" t="n">
        <x:v>1.97</x:v>
      </x:c>
      <x:c r="G95" s="10" t="n">
        <x:v>0</x:v>
      </x:c>
      <x:c r="H95" s="10" t="n">
        <x:v>1.97</x:v>
      </x:c>
      <x:c r="I95" t="str">
        <x:v>Gemeinschaft</x:v>
      </x:c>
      <x:c r="J95" s="10" t="n">
        <x:v>0</x:v>
      </x:c>
      <x:c r="K95" t="str"/>
    </x:row>
    <x:row r="96">
      <x:c r="A96" t="str">
        <x:v>BON-20260718-001</x:v>
      </x:c>
      <x:c r="B96" t="n">
        <x:v>25</x:v>
      </x:c>
      <x:c r="C96" t="str">
        <x:v>Bio Paprika Mix 400 g</x:v>
      </x:c>
      <x:c r="D96" t="n">
        <x:v>1</x:v>
      </x:c>
      <x:c r="E96" t="str">
        <x:v>Position</x:v>
      </x:c>
      <x:c r="F96" s="10" t="n">
        <x:v>2.06</x:v>
      </x:c>
      <x:c r="G96" s="10" t="n">
        <x:v>0</x:v>
      </x:c>
      <x:c r="H96" s="10" t="n">
        <x:v>2.06</x:v>
      </x:c>
      <x:c r="I96" t="str">
        <x:v>Gemeinschaft</x:v>
      </x:c>
      <x:c r="J96" s="10" t="n">
        <x:v>0</x:v>
      </x:c>
      <x:c r="K96" t="str"/>
    </x:row>
    <x:row r="97">
      <x:c r="A97" t="str">
        <x:v>BON-20260718-001</x:v>
      </x:c>
      <x:c r="B97" t="n">
        <x:v>26</x:v>
      </x:c>
      <x:c r="C97" t="str">
        <x:v>Eisbergsalat</x:v>
      </x:c>
      <x:c r="D97" t="n">
        <x:v>1</x:v>
      </x:c>
      <x:c r="E97" t="str">
        <x:v>Position</x:v>
      </x:c>
      <x:c r="F97" s="10" t="n">
        <x:v>0.99</x:v>
      </x:c>
      <x:c r="G97" s="10" t="n">
        <x:v>0</x:v>
      </x:c>
      <x:c r="H97" s="10" t="n">
        <x:v>0.99</x:v>
      </x:c>
      <x:c r="I97" t="str">
        <x:v>Gemeinschaft</x:v>
      </x:c>
      <x:c r="J97" s="10" t="n">
        <x:v>0</x:v>
      </x:c>
      <x:c r="K97" t="str"/>
    </x:row>
    <x:row r="98">
      <x:c r="A98" t="str">
        <x:v>BON-20260718-001</x:v>
      </x:c>
      <x:c r="B98" t="n">
        <x:v>27</x:v>
      </x:c>
      <x:c r="C98" t="str">
        <x:v>Mairübchen</x:v>
      </x:c>
      <x:c r="D98" t="n">
        <x:v>1</x:v>
      </x:c>
      <x:c r="E98" t="str">
        <x:v>Position</x:v>
      </x:c>
      <x:c r="F98" s="10" t="n">
        <x:v>1.29</x:v>
      </x:c>
      <x:c r="G98" s="10" t="n">
        <x:v>0</x:v>
      </x:c>
      <x:c r="H98" s="10" t="n">
        <x:v>1.29</x:v>
      </x:c>
      <x:c r="I98" t="str">
        <x:v>Gemeinschaft</x:v>
      </x:c>
      <x:c r="J98" s="10" t="n">
        <x:v>0</x:v>
      </x:c>
      <x:c r="K98" t="str"/>
    </x:row>
    <x:row r="99">
      <x:c r="A99" t="str">
        <x:v>BON-20260718-001</x:v>
      </x:c>
      <x:c r="B99" t="n">
        <x:v>28</x:v>
      </x:c>
      <x:c r="C99" t="str">
        <x:v>Preisänderung Mairübchen</x:v>
      </x:c>
      <x:c r="D99" t="n">
        <x:v>1</x:v>
      </x:c>
      <x:c r="E99" t="str">
        <x:v>Position</x:v>
      </x:c>
      <x:c r="F99" s="10" t="n">
        <x:v>-0.65</x:v>
      </x:c>
      <x:c r="G99" s="10" t="n">
        <x:v>0</x:v>
      </x:c>
      <x:c r="H99" s="10" t="n">
        <x:v>-0.65</x:v>
      </x:c>
      <x:c r="I99" t="str">
        <x:v>Gemeinschaft</x:v>
      </x:c>
      <x:c r="J99" s="10" t="n">
        <x:v>0</x:v>
      </x:c>
      <x:c r="K99" t="str"/>
    </x:row>
    <x:row r="100">
      <x:c r="A100" t="str">
        <x:v>BON-20260718-001</x:v>
      </x:c>
      <x:c r="B100" t="n">
        <x:v>29</x:v>
      </x:c>
      <x:c r="C100" t="str">
        <x:v>Mini-Romanasalat GS</x:v>
      </x:c>
      <x:c r="D100" t="n">
        <x:v>1</x:v>
      </x:c>
      <x:c r="E100" t="str">
        <x:v>Position</x:v>
      </x:c>
      <x:c r="F100" s="10" t="n">
        <x:v>0.65</x:v>
      </x:c>
      <x:c r="G100" s="10" t="n">
        <x:v>0</x:v>
      </x:c>
      <x:c r="H100" s="10" t="n">
        <x:v>0.65</x:v>
      </x:c>
      <x:c r="I100" t="str">
        <x:v>Gemeinschaft</x:v>
      </x:c>
      <x:c r="J100" s="10" t="n">
        <x:v>0</x:v>
      </x:c>
      <x:c r="K100" t="str"/>
    </x:row>
    <x:row r="101">
      <x:c r="A101" t="str">
        <x:v>BON-20260718-001</x:v>
      </x:c>
      <x:c r="B101" t="n">
        <x:v>30</x:v>
      </x:c>
      <x:c r="C101" t="str">
        <x:v>Bio Gurken</x:v>
      </x:c>
      <x:c r="D101" t="n">
        <x:v>1</x:v>
      </x:c>
      <x:c r="E101" t="str">
        <x:v>Position</x:v>
      </x:c>
      <x:c r="F101" s="10" t="n">
        <x:v>2.5</x:v>
      </x:c>
      <x:c r="G101" s="10" t="n">
        <x:v>0</x:v>
      </x:c>
      <x:c r="H101" s="10" t="n">
        <x:v>2.5</x:v>
      </x:c>
      <x:c r="I101" t="str">
        <x:v>Gemeinschaft</x:v>
      </x:c>
      <x:c r="J101" s="10" t="n">
        <x:v>0</x:v>
      </x:c>
      <x:c r="K101" t="str"/>
    </x:row>
    <x:row r="102">
      <x:c r="A102" t="str">
        <x:v>BON-20260718-001</x:v>
      </x:c>
      <x:c r="B102" t="n">
        <x:v>31</x:v>
      </x:c>
      <x:c r="C102" t="str">
        <x:v>Bio Knoblauch 150 g</x:v>
      </x:c>
      <x:c r="D102" t="n">
        <x:v>1</x:v>
      </x:c>
      <x:c r="E102" t="str">
        <x:v>Position</x:v>
      </x:c>
      <x:c r="F102" s="10" t="n">
        <x:v>1.34</x:v>
      </x:c>
      <x:c r="G102" s="10" t="n">
        <x:v>0</x:v>
      </x:c>
      <x:c r="H102" s="10" t="n">
        <x:v>1.34</x:v>
      </x:c>
      <x:c r="I102" t="str">
        <x:v>Gemeinschaft</x:v>
      </x:c>
      <x:c r="J102" s="10" t="n">
        <x:v>0</x:v>
      </x:c>
      <x:c r="K102" t="str"/>
    </x:row>
    <x:row r="103">
      <x:c r="A103" t="str">
        <x:v>BON-20260718-001</x:v>
      </x:c>
      <x:c r="B103" t="n">
        <x:v>32</x:v>
      </x:c>
      <x:c r="C103" t="str">
        <x:v>Radieschen</x:v>
      </x:c>
      <x:c r="D103" t="n">
        <x:v>1</x:v>
      </x:c>
      <x:c r="E103" t="str">
        <x:v>Position</x:v>
      </x:c>
      <x:c r="F103" s="10" t="n">
        <x:v>0.65</x:v>
      </x:c>
      <x:c r="G103" s="10" t="n">
        <x:v>0</x:v>
      </x:c>
      <x:c r="H103" s="10" t="n">
        <x:v>0.65</x:v>
      </x:c>
      <x:c r="I103" t="str">
        <x:v>Gemeinschaft</x:v>
      </x:c>
      <x:c r="J103" s="10" t="n">
        <x:v>0</x:v>
      </x:c>
      <x:c r="K103" t="str"/>
    </x:row>
    <x:row r="104">
      <x:c r="A104" t="str">
        <x:v>BON-20260718-001</x:v>
      </x:c>
      <x:c r="B104" t="n">
        <x:v>33</x:v>
      </x:c>
      <x:c r="C104" t="str">
        <x:v>Dill 25 g</x:v>
      </x:c>
      <x:c r="D104" t="n">
        <x:v>1</x:v>
      </x:c>
      <x:c r="E104" t="str">
        <x:v>Position</x:v>
      </x:c>
      <x:c r="F104" s="10" t="n">
        <x:v>0.99</x:v>
      </x:c>
      <x:c r="G104" s="10" t="n">
        <x:v>0</x:v>
      </x:c>
      <x:c r="H104" s="10" t="n">
        <x:v>0.99</x:v>
      </x:c>
      <x:c r="I104" t="str">
        <x:v>Gemeinschaft</x:v>
      </x:c>
      <x:c r="J104" s="10" t="n">
        <x:v>0</x:v>
      </x:c>
      <x:c r="K104" t="str"/>
    </x:row>
    <x:row r="105">
      <x:c r="A105" t="str">
        <x:v>BON-20260718-001</x:v>
      </x:c>
      <x:c r="B105" t="n">
        <x:v>34</x:v>
      </x:c>
      <x:c r="C105" t="str">
        <x:v>Bio Naturland Kräutertopf</x:v>
      </x:c>
      <x:c r="D105" t="n">
        <x:v>1</x:v>
      </x:c>
      <x:c r="E105" t="str">
        <x:v>Position</x:v>
      </x:c>
      <x:c r="F105" s="10" t="n">
        <x:v>3.04</x:v>
      </x:c>
      <x:c r="G105" s="10" t="n">
        <x:v>0</x:v>
      </x:c>
      <x:c r="H105" s="10" t="n">
        <x:v>3.04</x:v>
      </x:c>
      <x:c r="I105" t="str">
        <x:v>Gemeinschaft</x:v>
      </x:c>
      <x:c r="J105" s="10" t="n">
        <x:v>0</x:v>
      </x:c>
      <x:c r="K105" t="str"/>
    </x:row>
    <x:row r="106">
      <x:c r="A106" t="str">
        <x:v>BON-20260718-001</x:v>
      </x:c>
      <x:c r="B106" t="n">
        <x:v>35</x:v>
      </x:c>
      <x:c r="C106" t="str">
        <x:v>Johannisbeeren</x:v>
      </x:c>
      <x:c r="D106" t="n">
        <x:v>1</x:v>
      </x:c>
      <x:c r="E106" t="str">
        <x:v>Position</x:v>
      </x:c>
      <x:c r="F106" s="10" t="n">
        <x:v>2.69</x:v>
      </x:c>
      <x:c r="G106" s="10" t="n">
        <x:v>0</x:v>
      </x:c>
      <x:c r="H106" s="10" t="n">
        <x:v>2.69</x:v>
      </x:c>
      <x:c r="I106" t="str">
        <x:v>Gemeinschaft</x:v>
      </x:c>
      <x:c r="J106" s="10" t="n">
        <x:v>0</x:v>
      </x:c>
      <x:c r="K106" t="str"/>
    </x:row>
    <x:row r="107">
      <x:c r="A107" t="str">
        <x:v>BON-20260718-001</x:v>
      </x:c>
      <x:c r="B107" t="n">
        <x:v>36</x:v>
      </x:c>
      <x:c r="C107" t="str">
        <x:v>Jagdwurst 350 g</x:v>
      </x:c>
      <x:c r="D107" t="n">
        <x:v>1</x:v>
      </x:c>
      <x:c r="E107" t="str">
        <x:v>Position</x:v>
      </x:c>
      <x:c r="F107" s="10" t="n">
        <x:v>2.79</x:v>
      </x:c>
      <x:c r="G107" s="10" t="n">
        <x:v>0</x:v>
      </x:c>
      <x:c r="H107" s="10" t="n">
        <x:v>2.79</x:v>
      </x:c>
      <x:c r="I107" t="str">
        <x:v>Gemeinschaft</x:v>
      </x:c>
      <x:c r="J107" s="10" t="n">
        <x:v>0</x:v>
      </x:c>
      <x:c r="K107" t="str"/>
    </x:row>
    <x:row r="108">
      <x:c r="A108" t="str">
        <x:v>BON-20260718-001</x:v>
      </x:c>
      <x:c r="B108" t="n">
        <x:v>37</x:v>
      </x:c>
      <x:c r="C108" t="str">
        <x:v>5 % Rabatt Warenkorb</x:v>
      </x:c>
      <x:c r="D108" t="n">
        <x:v>1</x:v>
      </x:c>
      <x:c r="E108" t="str">
        <x:v>Position</x:v>
      </x:c>
      <x:c r="F108" s="10" t="n">
        <x:v>-3.73</x:v>
      </x:c>
      <x:c r="G108" s="10" t="n">
        <x:v>0</x:v>
      </x:c>
      <x:c r="H108" s="10" t="n">
        <x:v>-3.73</x:v>
      </x:c>
      <x:c r="I108" t="str">
        <x:v>Gemeinschaft</x:v>
      </x:c>
      <x:c r="J108" s="10" t="n">
        <x:v>0</x:v>
      </x:c>
      <x:c r="K108" t="str"/>
    </x:row>
    <x:row r="109">
      <x:c r="A109" t="str">
        <x:v>AUS-20260718-001</x:v>
      </x:c>
      <x:c r="B109" t="n">
        <x:v>1</x:v>
      </x:c>
      <x:c r="C109" t="str">
        <x:v>Hofladen Marmelade &amp; more</x:v>
      </x:c>
      <x:c r="D109" t="n">
        <x:v>1</x:v>
      </x:c>
      <x:c r="E109" t="str">
        <x:v>Sammelposition</x:v>
      </x:c>
      <x:c r="F109" s="10" t="n">
        <x:v>10</x:v>
      </x:c>
      <x:c r="G109" s="10" t="n">
        <x:v>0</x:v>
      </x:c>
      <x:c r="H109" s="10" t="n">
        <x:v>10</x:v>
      </x:c>
      <x:c r="I109" t="str">
        <x:v>Gemeinschaft</x:v>
      </x:c>
      <x:c r="J109" s="10" t="n">
        <x:v>0</x:v>
      </x:c>
      <x:c r="K109" t="str"/>
    </x:row>
    <x:row r="110">
      <x:c r="A110" t="str">
        <x:v>BON-20260720-001</x:v>
      </x:c>
      <x:c r="B110" t="n">
        <x:v>1</x:v>
      </x:c>
      <x:c r="C110" t="str">
        <x:v>Hähnchenbrust</x:v>
      </x:c>
      <x:c r="D110" t="n">
        <x:v>1</x:v>
      </x:c>
      <x:c r="E110" t="str">
        <x:v>Packung</x:v>
      </x:c>
      <x:c r="F110" s="10" t="n">
        <x:v>16.4</x:v>
      </x:c>
      <x:c r="G110" s="10" t="n">
        <x:v>0</x:v>
      </x:c>
      <x:c r="H110" s="10" t="n">
        <x:v>16.4</x:v>
      </x:c>
      <x:c r="I110" t="str">
        <x:v>Gemeinschaft</x:v>
      </x:c>
      <x:c r="J110" s="10" t="n">
        <x:v>0</x:v>
      </x:c>
      <x:c r="K110" t="str"/>
    </x:row>
    <x:row r="111">
      <x:c r="A111" t="str">
        <x:v>BON-20260720-001</x:v>
      </x:c>
      <x:c r="B111" t="n">
        <x:v>2</x:v>
      </x:c>
      <x:c r="C111" t="str">
        <x:v>Wildschwein Lachs</x:v>
      </x:c>
      <x:c r="D111" t="n">
        <x:v>1</x:v>
      </x:c>
      <x:c r="E111" t="str">
        <x:v>Packung</x:v>
      </x:c>
      <x:c r="F111" s="10" t="n">
        <x:v>16.2</x:v>
      </x:c>
      <x:c r="G111" s="10" t="n">
        <x:v>0</x:v>
      </x:c>
      <x:c r="H111" s="10" t="n">
        <x:v>16.2</x:v>
      </x:c>
      <x:c r="I111" t="str">
        <x:v>Gemeinschaft</x:v>
      </x:c>
      <x:c r="J111" s="10" t="n">
        <x:v>0</x:v>
      </x:c>
      <x:c r="K111" t="str"/>
    </x:row>
    <x:row r="112">
      <x:c r="A112" t="str">
        <x:v>BON-20260720-001</x:v>
      </x:c>
      <x:c r="B112" t="n">
        <x:v>3</x:v>
      </x:c>
      <x:c r="C112" t="str">
        <x:v>Nackensteak Som</x:v>
      </x:c>
      <x:c r="D112" t="n">
        <x:v>1</x:v>
      </x:c>
      <x:c r="E112" t="str">
        <x:v>Packung</x:v>
      </x:c>
      <x:c r="F112" s="10" t="n">
        <x:v>14.68</x:v>
      </x:c>
      <x:c r="G112" s="10" t="n">
        <x:v>0</x:v>
      </x:c>
      <x:c r="H112" s="10" t="n">
        <x:v>14.68</x:v>
      </x:c>
      <x:c r="I112" t="str">
        <x:v>Gemeinschaft</x:v>
      </x:c>
      <x:c r="J112" s="10" t="n">
        <x:v>0</x:v>
      </x:c>
      <x:c r="K112" t="str"/>
    </x:row>
    <x:row r="113">
      <x:c r="A113" t="str">
        <x:v>BON-20260720-001</x:v>
      </x:c>
      <x:c r="B113" t="n">
        <x:v>4</x:v>
      </x:c>
      <x:c r="C113" t="str">
        <x:v>BioZisch Light M</x:v>
      </x:c>
      <x:c r="D113" t="n">
        <x:v>1</x:v>
      </x:c>
      <x:c r="E113" t="str">
        <x:v>Flasche</x:v>
      </x:c>
      <x:c r="F113" s="10" t="n">
        <x:v>1.99</x:v>
      </x:c>
      <x:c r="G113" s="10" t="n">
        <x:v>0</x:v>
      </x:c>
      <x:c r="H113" s="10" t="n">
        <x:v>1.99</x:v>
      </x:c>
      <x:c r="I113" t="str">
        <x:v>Gemeinschaft</x:v>
      </x:c>
      <x:c r="J113" s="10" t="n">
        <x:v>0</x:v>
      </x:c>
      <x:c r="K113" t="str"/>
    </x:row>
    <x:row r="114">
      <x:c r="A114" t="str">
        <x:v>BON-20260720-001</x:v>
      </x:c>
      <x:c r="B114" t="n">
        <x:v>5</x:v>
      </x:c>
      <x:c r="C114" t="str">
        <x:v>Pfand 0,25 €</x:v>
      </x:c>
      <x:c r="D114" t="n">
        <x:v>1</x:v>
      </x:c>
      <x:c r="E114" t="str">
        <x:v>Pfand</x:v>
      </x:c>
      <x:c r="F114" s="10" t="n">
        <x:v>0.25</x:v>
      </x:c>
      <x:c r="G114" s="10" t="n">
        <x:v>0</x:v>
      </x:c>
      <x:c r="H114" s="10" t="n">
        <x:v>0.25</x:v>
      </x:c>
      <x:c r="I114" t="str">
        <x:v>Gemeinschaft</x:v>
      </x:c>
      <x:c r="J114" s="10" t="n">
        <x:v>0</x:v>
      </x:c>
      <x:c r="K114" t="str"/>
    </x:row>
    <x:row r="115">
      <x:c r="A115" t="str">
        <x:v>BON-20260720-001</x:v>
      </x:c>
      <x:c r="B115" t="n">
        <x:v>6</x:v>
      </x:c>
      <x:c r="C115" t="str">
        <x:v>Milch Michl Scho</x:v>
      </x:c>
      <x:c r="D115" t="n">
        <x:v>1</x:v>
      </x:c>
      <x:c r="E115" t="str">
        <x:v>Packung</x:v>
      </x:c>
      <x:c r="F115" s="10" t="n">
        <x:v>3.49</x:v>
      </x:c>
      <x:c r="G115" s="10" t="n">
        <x:v>0</x:v>
      </x:c>
      <x:c r="H115" s="10" t="n">
        <x:v>3.49</x:v>
      </x:c>
      <x:c r="I115" t="str">
        <x:v>Gemeinschaft</x:v>
      </x:c>
      <x:c r="J115" s="10" t="n">
        <x:v>0</x:v>
      </x:c>
      <x:c r="K115" t="str"/>
    </x:row>
    <x:row r="116">
      <x:c r="A116" t="str">
        <x:v>BON-20260720-001</x:v>
      </x:c>
      <x:c r="B116" t="n">
        <x:v>7</x:v>
      </x:c>
      <x:c r="C116" t="str">
        <x:v>Bourbon Vanille</x:v>
      </x:c>
      <x:c r="D116" t="n">
        <x:v>1</x:v>
      </x:c>
      <x:c r="E116" t="str">
        <x:v>Packung</x:v>
      </x:c>
      <x:c r="F116" s="10" t="n">
        <x:v>4.79</x:v>
      </x:c>
      <x:c r="G116" s="10" t="n">
        <x:v>0</x:v>
      </x:c>
      <x:c r="H116" s="10" t="n">
        <x:v>4.79</x:v>
      </x:c>
      <x:c r="I116" t="str">
        <x:v>Gemeinschaft</x:v>
      </x:c>
      <x:c r="J116" s="10" t="n">
        <x:v>0</x:v>
      </x:c>
      <x:c r="K116" t="str"/>
    </x:row>
    <x:row r="117">
      <x:c r="A117" t="str">
        <x:v>BON-20260720-001</x:v>
      </x:c>
      <x:c r="B117" t="n">
        <x:v>8</x:v>
      </x:c>
      <x:c r="C117" t="str">
        <x:v>Geflügel-Bratwurst</x:v>
      </x:c>
      <x:c r="D117" t="n">
        <x:v>1</x:v>
      </x:c>
      <x:c r="E117" t="str">
        <x:v>Packung</x:v>
      </x:c>
      <x:c r="F117" s="10" t="n">
        <x:v>6.49</x:v>
      </x:c>
      <x:c r="G117" s="10" t="n">
        <x:v>0</x:v>
      </x:c>
      <x:c r="H117" s="10" t="n">
        <x:v>6.49</x:v>
      </x:c>
      <x:c r="I117" t="str">
        <x:v>Gemeinschaft</x:v>
      </x:c>
      <x:c r="J117" s="10" t="n">
        <x:v>0</x:v>
      </x:c>
      <x:c r="K117" t="str"/>
    </x:row>
    <x:row r="118">
      <x:c r="A118" t="str">
        <x:v>BON-20260720-001</x:v>
      </x:c>
      <x:c r="B118" t="n">
        <x:v>9</x:v>
      </x:c>
      <x:c r="C118" t="str">
        <x:v>Geflügel-Bratwurst</x:v>
      </x:c>
      <x:c r="D118" t="n">
        <x:v>1</x:v>
      </x:c>
      <x:c r="E118" t="str">
        <x:v>Packung</x:v>
      </x:c>
      <x:c r="F118" s="10" t="n">
        <x:v>6.49</x:v>
      </x:c>
      <x:c r="G118" s="10" t="n">
        <x:v>0</x:v>
      </x:c>
      <x:c r="H118" s="10" t="n">
        <x:v>6.49</x:v>
      </x:c>
      <x:c r="I118" t="str">
        <x:v>Gemeinschaft</x:v>
      </x:c>
      <x:c r="J118" s="10" t="n">
        <x:v>0</x:v>
      </x:c>
      <x:c r="K118" t="str"/>
    </x:row>
    <x:row r="119">
      <x:c r="A119" t="str">
        <x:v>BON-20260720-001</x:v>
      </x:c>
      <x:c r="B119" t="n">
        <x:v>10</x:v>
      </x:c>
      <x:c r="C119" t="str">
        <x:v>Focaccia und Grissini</x:v>
      </x:c>
      <x:c r="D119" t="n">
        <x:v>1</x:v>
      </x:c>
      <x:c r="E119" t="str">
        <x:v>Packung</x:v>
      </x:c>
      <x:c r="F119" s="10" t="n">
        <x:v>2.1</x:v>
      </x:c>
      <x:c r="G119" s="10" t="n">
        <x:v>0</x:v>
      </x:c>
      <x:c r="H119" s="10" t="n">
        <x:v>2.1</x:v>
      </x:c>
      <x:c r="I119" t="str">
        <x:v>Gemeinschaft</x:v>
      </x:c>
      <x:c r="J119" s="10" t="n">
        <x:v>0</x:v>
      </x:c>
      <x:c r="K119" t="str"/>
    </x:row>
    <x:row r="120">
      <x:c r="A120" t="str">
        <x:v>BON-20260720-001</x:v>
      </x:c>
      <x:c r="B120" t="n">
        <x:v>11</x:v>
      </x:c>
      <x:c r="C120" t="str">
        <x:v>Kohlrabi</x:v>
      </x:c>
      <x:c r="D120" t="n">
        <x:v>1</x:v>
      </x:c>
      <x:c r="E120" t="str">
        <x:v>Stk.</x:v>
      </x:c>
      <x:c r="F120" s="10" t="n">
        <x:v>2.29</x:v>
      </x:c>
      <x:c r="G120" s="10" t="n">
        <x:v>0</x:v>
      </x:c>
      <x:c r="H120" s="10" t="n">
        <x:v>2.29</x:v>
      </x:c>
      <x:c r="I120" t="str">
        <x:v>Gemeinschaft</x:v>
      </x:c>
      <x:c r="J120" s="10" t="n">
        <x:v>0</x:v>
      </x:c>
      <x:c r="K120" t="str"/>
    </x:row>
    <x:row r="121">
      <x:c r="A121" t="str">
        <x:v>BON-20260720-001</x:v>
      </x:c>
      <x:c r="B121" t="n">
        <x:v>12</x:v>
      </x:c>
      <x:c r="C121" t="str">
        <x:v>Gurke</x:v>
      </x:c>
      <x:c r="D121" t="n">
        <x:v>5</x:v>
      </x:c>
      <x:c r="E121" t="str">
        <x:v>Stk.</x:v>
      </x:c>
      <x:c r="F121" s="10" t="n">
        <x:v>7.45</x:v>
      </x:c>
      <x:c r="G121" s="10" t="n">
        <x:v>0</x:v>
      </x:c>
      <x:c r="H121" s="10" t="n">
        <x:v>7.45</x:v>
      </x:c>
      <x:c r="I121" t="str">
        <x:v>Gemeinschaft</x:v>
      </x:c>
      <x:c r="J121" s="10" t="n">
        <x:v>0</x:v>
      </x:c>
      <x:c r="K121" t="str"/>
    </x:row>
    <x:row r="122">
      <x:c r="A122" t="str">
        <x:v>BON-20260720-001</x:v>
      </x:c>
      <x:c r="B122" t="n">
        <x:v>13</x:v>
      </x:c>
      <x:c r="C122" t="str">
        <x:v>Apfelsaft UM Bio</x:v>
      </x:c>
      <x:c r="D122" t="n">
        <x:v>3</x:v>
      </x:c>
      <x:c r="E122" t="str">
        <x:v>Flasche</x:v>
      </x:c>
      <x:c r="F122" s="10" t="n">
        <x:v>14.7</x:v>
      </x:c>
      <x:c r="G122" s="10" t="n">
        <x:v>0</x:v>
      </x:c>
      <x:c r="H122" s="10" t="n">
        <x:v>14.7</x:v>
      </x:c>
      <x:c r="I122" t="str">
        <x:v>Nur Katrin</x:v>
      </x:c>
      <x:c r="J122" s="10" t="n">
        <x:v>0</x:v>
      </x:c>
      <x:c r="K122" t="str"/>
    </x:row>
    <x:row r="123">
      <x:c r="A123" t="str">
        <x:v>BON-20260720-001</x:v>
      </x:c>
      <x:c r="B123" t="n">
        <x:v>14</x:v>
      </x:c>
      <x:c r="C123" t="str">
        <x:v>Pfand 0,15 €</x:v>
      </x:c>
      <x:c r="D123" t="n">
        <x:v>3</x:v>
      </x:c>
      <x:c r="E123" t="str">
        <x:v>Pfand</x:v>
      </x:c>
      <x:c r="F123" s="10" t="n">
        <x:v>0.45</x:v>
      </x:c>
      <x:c r="G123" s="10" t="n">
        <x:v>0</x:v>
      </x:c>
      <x:c r="H123" s="10" t="n">
        <x:v>0.45</x:v>
      </x:c>
      <x:c r="I123" t="str">
        <x:v>Nur Katrin</x:v>
      </x:c>
      <x:c r="J123" s="10" t="n">
        <x:v>0</x:v>
      </x:c>
      <x:c r="K123" t="str"/>
    </x:row>
    <x:row r="124">
      <x:c r="A124" t="str">
        <x:v>BON-20260720-001</x:v>
      </x:c>
      <x:c r="B124" t="n">
        <x:v>15</x:v>
      </x:c>
      <x:c r="C124" t="str">
        <x:v>Apfel-Birne UM Bio</x:v>
      </x:c>
      <x:c r="D124" t="n">
        <x:v>2</x:v>
      </x:c>
      <x:c r="E124" t="str">
        <x:v>Flasche</x:v>
      </x:c>
      <x:c r="F124" s="10" t="n">
        <x:v>11</x:v>
      </x:c>
      <x:c r="G124" s="10" t="n">
        <x:v>0</x:v>
      </x:c>
      <x:c r="H124" s="10" t="n">
        <x:v>11</x:v>
      </x:c>
      <x:c r="I124" t="str">
        <x:v>Nur Katrin</x:v>
      </x:c>
      <x:c r="J124" s="10" t="n">
        <x:v>0</x:v>
      </x:c>
      <x:c r="K124" t="str"/>
    </x:row>
    <x:row r="125">
      <x:c r="A125" t="str">
        <x:v>BON-20260720-001</x:v>
      </x:c>
      <x:c r="B125" t="n">
        <x:v>16</x:v>
      </x:c>
      <x:c r="C125" t="str">
        <x:v>Pfand 0,15 €</x:v>
      </x:c>
      <x:c r="D125" t="n">
        <x:v>2</x:v>
      </x:c>
      <x:c r="E125" t="str">
        <x:v>Pfand</x:v>
      </x:c>
      <x:c r="F125" s="10" t="n">
        <x:v>0.3</x:v>
      </x:c>
      <x:c r="G125" s="10" t="n">
        <x:v>0</x:v>
      </x:c>
      <x:c r="H125" s="10" t="n">
        <x:v>0.3</x:v>
      </x:c>
      <x:c r="I125" t="str">
        <x:v>Nur Katrin</x:v>
      </x:c>
      <x:c r="J125" s="10" t="n">
        <x:v>0</x:v>
      </x:c>
      <x:c r="K125" t="str"/>
    </x:row>
    <x:row r="126">
      <x:c r="A126" t="str">
        <x:v>BON-20260720-001</x:v>
      </x:c>
      <x:c r="B126" t="n">
        <x:v>17</x:v>
      </x:c>
      <x:c r="C126" t="str">
        <x:v>Apfel-Rote-Bete</x:v>
      </x:c>
      <x:c r="D126" t="n">
        <x:v>1</x:v>
      </x:c>
      <x:c r="E126" t="str">
        <x:v>Flasche</x:v>
      </x:c>
      <x:c r="F126" s="10" t="n">
        <x:v>5.5</x:v>
      </x:c>
      <x:c r="G126" s="10" t="n">
        <x:v>0</x:v>
      </x:c>
      <x:c r="H126" s="10" t="n">
        <x:v>5.5</x:v>
      </x:c>
      <x:c r="I126" t="str">
        <x:v>Nur Katrin</x:v>
      </x:c>
      <x:c r="J126" s="10" t="n">
        <x:v>0</x:v>
      </x:c>
      <x:c r="K126" t="str"/>
    </x:row>
    <x:row r="127">
      <x:c r="A127" t="str">
        <x:v>BON-20260720-001</x:v>
      </x:c>
      <x:c r="B127" t="n">
        <x:v>18</x:v>
      </x:c>
      <x:c r="C127" t="str">
        <x:v>Pfand 0,15 €</x:v>
      </x:c>
      <x:c r="D127" t="n">
        <x:v>1</x:v>
      </x:c>
      <x:c r="E127" t="str">
        <x:v>Pfand</x:v>
      </x:c>
      <x:c r="F127" s="10" t="n">
        <x:v>0.15</x:v>
      </x:c>
      <x:c r="G127" s="10" t="n">
        <x:v>0</x:v>
      </x:c>
      <x:c r="H127" s="10" t="n">
        <x:v>0.15</x:v>
      </x:c>
      <x:c r="I127" t="str">
        <x:v>Nur Katrin</x:v>
      </x:c>
      <x:c r="J127" s="10" t="n">
        <x:v>0</x:v>
      </x:c>
      <x:c r="K127" t="str"/>
    </x:row>
    <x:row r="128">
      <x:c r="A128" t="str">
        <x:v>BON-20260720-001</x:v>
      </x:c>
      <x:c r="B128" t="n">
        <x:v>19</x:v>
      </x:c>
      <x:c r="C128" t="str">
        <x:v>Kastenpfand</x:v>
      </x:c>
      <x:c r="D128" t="n">
        <x:v>1</x:v>
      </x:c>
      <x:c r="E128" t="str">
        <x:v>Pfand</x:v>
      </x:c>
      <x:c r="F128" s="10" t="n">
        <x:v>1.5</x:v>
      </x:c>
      <x:c r="G128" s="10" t="n">
        <x:v>0</x:v>
      </x:c>
      <x:c r="H128" s="10" t="n">
        <x:v>1.5</x:v>
      </x:c>
      <x:c r="I128" t="str">
        <x:v>Nur Katrin</x:v>
      </x:c>
      <x:c r="J128" s="10" t="n">
        <x:v>0</x:v>
      </x:c>
      <x:c r="K128" t="str"/>
    </x:row>
    <x:row r="129">
      <x:c r="A129" t="str">
        <x:v>BON-20260720-002</x:v>
      </x:c>
      <x:c r="B129" t="n">
        <x:v>1</x:v>
      </x:c>
      <x:c r="C129" t="str">
        <x:v>Süßkartoffeln</x:v>
      </x:c>
      <x:c r="D129" t="n">
        <x:v>1</x:v>
      </x:c>
      <x:c r="E129" t="str">
        <x:v>Position</x:v>
      </x:c>
      <x:c r="F129" s="10" t="n">
        <x:v>2.66</x:v>
      </x:c>
      <x:c r="G129" s="10" t="n">
        <x:v>0</x:v>
      </x:c>
      <x:c r="H129" s="10" t="n">
        <x:v>2.66</x:v>
      </x:c>
      <x:c r="I129" t="str">
        <x:v>Gemeinschaft</x:v>
      </x:c>
      <x:c r="J129" s="10" t="n">
        <x:v>0</x:v>
      </x:c>
      <x:c r="K129" t="str"/>
    </x:row>
    <x:row r="130">
      <x:c r="A130" t="str">
        <x:v>BON-20260720-002</x:v>
      </x:c>
      <x:c r="B130" t="n">
        <x:v>2</x:v>
      </x:c>
      <x:c r="C130" t="str">
        <x:v>Ingwer Bio</x:v>
      </x:c>
      <x:c r="D130" t="n">
        <x:v>1</x:v>
      </x:c>
      <x:c r="E130" t="str">
        <x:v>Position</x:v>
      </x:c>
      <x:c r="F130" s="10" t="n">
        <x:v>0.97</x:v>
      </x:c>
      <x:c r="G130" s="10" t="n">
        <x:v>0</x:v>
      </x:c>
      <x:c r="H130" s="10" t="n">
        <x:v>0.97</x:v>
      </x:c>
      <x:c r="I130" t="str">
        <x:v>Gemeinschaft</x:v>
      </x:c>
      <x:c r="J130" s="10" t="n">
        <x:v>0</x:v>
      </x:c>
      <x:c r="K130" t="str"/>
    </x:row>
    <x:row r="131">
      <x:c r="A131" t="str">
        <x:v>BON-20260720-002</x:v>
      </x:c>
      <x:c r="B131" t="n">
        <x:v>3</x:v>
      </x:c>
      <x:c r="C131" t="str">
        <x:v>Süßkartoffeln</x:v>
      </x:c>
      <x:c r="D131" t="n">
        <x:v>1</x:v>
      </x:c>
      <x:c r="E131" t="str">
        <x:v>Position</x:v>
      </x:c>
      <x:c r="F131" s="10" t="n">
        <x:v>1.08</x:v>
      </x:c>
      <x:c r="G131" s="10" t="n">
        <x:v>0</x:v>
      </x:c>
      <x:c r="H131" s="10" t="n">
        <x:v>1.08</x:v>
      </x:c>
      <x:c r="I131" t="str">
        <x:v>Gemeinschaft</x:v>
      </x:c>
      <x:c r="J131" s="10" t="n">
        <x:v>0</x:v>
      </x:c>
      <x:c r="K131" t="str"/>
    </x:row>
    <x:row r="132">
      <x:c r="A132" t="str">
        <x:v>BON-20260720-002</x:v>
      </x:c>
      <x:c r="B132" t="n">
        <x:v>4</x:v>
      </x:c>
      <x:c r="C132" t="str">
        <x:v>Kirschen</x:v>
      </x:c>
      <x:c r="D132" t="n">
        <x:v>1</x:v>
      </x:c>
      <x:c r="E132" t="str">
        <x:v>Position</x:v>
      </x:c>
      <x:c r="F132" s="10" t="n">
        <x:v>3.32</x:v>
      </x:c>
      <x:c r="G132" s="10" t="n">
        <x:v>0</x:v>
      </x:c>
      <x:c r="H132" s="10" t="n">
        <x:v>3.32</x:v>
      </x:c>
      <x:c r="I132" t="str">
        <x:v>Gemeinschaft</x:v>
      </x:c>
      <x:c r="J132" s="10" t="n">
        <x:v>0</x:v>
      </x:c>
      <x:c r="K132" t="str"/>
    </x:row>
    <x:row r="133">
      <x:c r="A133" t="str">
        <x:v>BON-20260720-002</x:v>
      </x:c>
      <x:c r="B133" t="n">
        <x:v>5</x:v>
      </x:c>
      <x:c r="C133" t="str">
        <x:v>Bio Möhren</x:v>
      </x:c>
      <x:c r="D133" t="n">
        <x:v>1</x:v>
      </x:c>
      <x:c r="E133" t="str">
        <x:v>Position</x:v>
      </x:c>
      <x:c r="F133" s="10" t="n">
        <x:v>3.78</x:v>
      </x:c>
      <x:c r="G133" s="10" t="n">
        <x:v>0</x:v>
      </x:c>
      <x:c r="H133" s="10" t="n">
        <x:v>3.78</x:v>
      </x:c>
      <x:c r="I133" t="str">
        <x:v>Gemeinschaft</x:v>
      </x:c>
      <x:c r="J133" s="10" t="n">
        <x:v>0</x:v>
      </x:c>
      <x:c r="K133" t="str"/>
    </x:row>
    <x:row r="134">
      <x:c r="A134" t="str">
        <x:v>BON-20260720-002</x:v>
      </x:c>
      <x:c r="B134" t="n">
        <x:v>6</x:v>
      </x:c>
      <x:c r="C134" t="str">
        <x:v>Bio Limetten</x:v>
      </x:c>
      <x:c r="D134" t="n">
        <x:v>1</x:v>
      </x:c>
      <x:c r="E134" t="str">
        <x:v>Position</x:v>
      </x:c>
      <x:c r="F134" s="10" t="n">
        <x:v>1.69</x:v>
      </x:c>
      <x:c r="G134" s="10" t="n">
        <x:v>0</x:v>
      </x:c>
      <x:c r="H134" s="10" t="n">
        <x:v>1.69</x:v>
      </x:c>
      <x:c r="I134" t="str">
        <x:v>Gemeinschaft</x:v>
      </x:c>
      <x:c r="J134" s="10" t="n">
        <x:v>0</x:v>
      </x:c>
      <x:c r="K134" t="str"/>
    </x:row>
    <x:row r="135">
      <x:c r="A135" t="str">
        <x:v>BON-20260720-002</x:v>
      </x:c>
      <x:c r="B135" t="n">
        <x:v>7</x:v>
      </x:c>
      <x:c r="C135" t="str">
        <x:v>Bioland Zwiebeln</x:v>
      </x:c>
      <x:c r="D135" t="n">
        <x:v>1</x:v>
      </x:c>
      <x:c r="E135" t="str">
        <x:v>Position</x:v>
      </x:c>
      <x:c r="F135" s="10" t="n">
        <x:v>1.99</x:v>
      </x:c>
      <x:c r="G135" s="10" t="n">
        <x:v>0</x:v>
      </x:c>
      <x:c r="H135" s="10" t="n">
        <x:v>1.99</x:v>
      </x:c>
      <x:c r="I135" t="str">
        <x:v>Gemeinschaft</x:v>
      </x:c>
      <x:c r="J135" s="10" t="n">
        <x:v>0</x:v>
      </x:c>
      <x:c r="K135" t="str"/>
    </x:row>
    <x:row r="136">
      <x:c r="A136" t="str">
        <x:v>BON-20260720-002</x:v>
      </x:c>
      <x:c r="B136" t="n">
        <x:v>8</x:v>
      </x:c>
      <x:c r="C136" t="str">
        <x:v>Frühkartoffeln</x:v>
      </x:c>
      <x:c r="D136" t="n">
        <x:v>1</x:v>
      </x:c>
      <x:c r="E136" t="str">
        <x:v>Position</x:v>
      </x:c>
      <x:c r="F136" s="10" t="n">
        <x:v>2.79</x:v>
      </x:c>
      <x:c r="G136" s="10" t="n">
        <x:v>0</x:v>
      </x:c>
      <x:c r="H136" s="10" t="n">
        <x:v>2.79</x:v>
      </x:c>
      <x:c r="I136" t="str">
        <x:v>Gemeinschaft</x:v>
      </x:c>
      <x:c r="J136" s="10" t="n">
        <x:v>0</x:v>
      </x:c>
      <x:c r="K136" t="str"/>
    </x:row>
    <x:row r="137">
      <x:c r="A137" t="str">
        <x:v>BON-20260720-002</x:v>
      </x:c>
      <x:c r="B137" t="n">
        <x:v>9</x:v>
      </x:c>
      <x:c r="C137" t="str">
        <x:v>Cherrystrauchtomaten</x:v>
      </x:c>
      <x:c r="D137" t="n">
        <x:v>1</x:v>
      </x:c>
      <x:c r="E137" t="str">
        <x:v>Position</x:v>
      </x:c>
      <x:c r="F137" s="10" t="n">
        <x:v>7.17</x:v>
      </x:c>
      <x:c r="G137" s="10" t="n">
        <x:v>0</x:v>
      </x:c>
      <x:c r="H137" s="10" t="n">
        <x:v>7.17</x:v>
      </x:c>
      <x:c r="I137" t="str">
        <x:v>Gemeinschaft</x:v>
      </x:c>
      <x:c r="J137" s="10" t="n">
        <x:v>0</x:v>
      </x:c>
      <x:c r="K137" t="str"/>
    </x:row>
    <x:row r="138">
      <x:c r="A138" t="str">
        <x:v>BON-20260720-002</x:v>
      </x:c>
      <x:c r="B138" t="n">
        <x:v>10</x:v>
      </x:c>
      <x:c r="C138" t="str">
        <x:v>Bioland Strauchtomaten</x:v>
      </x:c>
      <x:c r="D138" t="n">
        <x:v>1</x:v>
      </x:c>
      <x:c r="E138" t="str">
        <x:v>Position</x:v>
      </x:c>
      <x:c r="F138" s="10" t="n">
        <x:v>5.38</x:v>
      </x:c>
      <x:c r="G138" s="10" t="n">
        <x:v>0</x:v>
      </x:c>
      <x:c r="H138" s="10" t="n">
        <x:v>5.38</x:v>
      </x:c>
      <x:c r="I138" t="str">
        <x:v>Gemeinschaft</x:v>
      </x:c>
      <x:c r="J138" s="10" t="n">
        <x:v>0</x:v>
      </x:c>
      <x:c r="K138" t="str"/>
    </x:row>
    <x:row r="139">
      <x:c r="A139" t="str">
        <x:v>BON-20260720-002</x:v>
      </x:c>
      <x:c r="B139" t="n">
        <x:v>11</x:v>
      </x:c>
      <x:c r="C139" t="str">
        <x:v>Bio Cocktailstrauchtomaten</x:v>
      </x:c>
      <x:c r="D139" t="n">
        <x:v>1</x:v>
      </x:c>
      <x:c r="E139" t="str">
        <x:v>Position</x:v>
      </x:c>
      <x:c r="F139" s="10" t="n">
        <x:v>4.58</x:v>
      </x:c>
      <x:c r="G139" s="10" t="n">
        <x:v>0</x:v>
      </x:c>
      <x:c r="H139" s="10" t="n">
        <x:v>4.58</x:v>
      </x:c>
      <x:c r="I139" t="str">
        <x:v>Gemeinschaft</x:v>
      </x:c>
      <x:c r="J139" s="10" t="n">
        <x:v>0</x:v>
      </x:c>
      <x:c r="K139" t="str"/>
    </x:row>
    <x:row r="140">
      <x:c r="A140" t="str">
        <x:v>BON-20260720-002</x:v>
      </x:c>
      <x:c r="B140" t="n">
        <x:v>12</x:v>
      </x:c>
      <x:c r="C140" t="str">
        <x:v>Bio Paprika Mix</x:v>
      </x:c>
      <x:c r="D140" t="n">
        <x:v>1</x:v>
      </x:c>
      <x:c r="E140" t="str">
        <x:v>Position</x:v>
      </x:c>
      <x:c r="F140" s="10" t="n">
        <x:v>4.38</x:v>
      </x:c>
      <x:c r="G140" s="10" t="n">
        <x:v>0</x:v>
      </x:c>
      <x:c r="H140" s="10" t="n">
        <x:v>4.38</x:v>
      </x:c>
      <x:c r="I140" t="str">
        <x:v>Gemeinschaft</x:v>
      </x:c>
      <x:c r="J140" s="10" t="n">
        <x:v>0</x:v>
      </x:c>
      <x:c r="K140" t="str"/>
    </x:row>
    <x:row r="141">
      <x:c r="A141" t="str">
        <x:v>BON-20260720-002</x:v>
      </x:c>
      <x:c r="B141" t="n">
        <x:v>13</x:v>
      </x:c>
      <x:c r="C141" t="str">
        <x:v>Petersilie</x:v>
      </x:c>
      <x:c r="D141" t="n">
        <x:v>1</x:v>
      </x:c>
      <x:c r="E141" t="str">
        <x:v>Position</x:v>
      </x:c>
      <x:c r="F141" s="10" t="n">
        <x:v>1.3</x:v>
      </x:c>
      <x:c r="G141" s="10" t="n">
        <x:v>0</x:v>
      </x:c>
      <x:c r="H141" s="10" t="n">
        <x:v>1.3</x:v>
      </x:c>
      <x:c r="I141" t="str">
        <x:v>Gemeinschaft</x:v>
      </x:c>
      <x:c r="J141" s="10" t="n">
        <x:v>0</x:v>
      </x:c>
      <x:c r="K141" t="str"/>
    </x:row>
    <x:row r="142">
      <x:c r="A142" t="str">
        <x:v>BON-20260720-002</x:v>
      </x:c>
      <x:c r="B142" t="n">
        <x:v>14</x:v>
      </x:c>
      <x:c r="C142" t="str">
        <x:v>Dill</x:v>
      </x:c>
      <x:c r="D142" t="n">
        <x:v>1</x:v>
      </x:c>
      <x:c r="E142" t="str">
        <x:v>Position</x:v>
      </x:c>
      <x:c r="F142" s="10" t="n">
        <x:v>1.39</x:v>
      </x:c>
      <x:c r="G142" s="10" t="n">
        <x:v>0</x:v>
      </x:c>
      <x:c r="H142" s="10" t="n">
        <x:v>1.39</x:v>
      </x:c>
      <x:c r="I142" t="str">
        <x:v>Gemeinschaft</x:v>
      </x:c>
      <x:c r="J142" s="10" t="n">
        <x:v>0</x:v>
      </x:c>
      <x:c r="K142" t="str"/>
    </x:row>
    <x:row r="143">
      <x:c r="A143" t="str">
        <x:v>BON-20260720-002</x:v>
      </x:c>
      <x:c r="B143" t="n">
        <x:v>15</x:v>
      </x:c>
      <x:c r="C143" t="str">
        <x:v>Koriander</x:v>
      </x:c>
      <x:c r="D143" t="n">
        <x:v>1</x:v>
      </x:c>
      <x:c r="E143" t="str">
        <x:v>Position</x:v>
      </x:c>
      <x:c r="F143" s="10" t="n">
        <x:v>0.89</x:v>
      </x:c>
      <x:c r="G143" s="10" t="n">
        <x:v>0</x:v>
      </x:c>
      <x:c r="H143" s="10" t="n">
        <x:v>0.89</x:v>
      </x:c>
      <x:c r="I143" t="str">
        <x:v>Gemeinschaft</x:v>
      </x:c>
      <x:c r="J143" s="10" t="n">
        <x:v>0</x:v>
      </x:c>
      <x:c r="K143" t="str"/>
    </x:row>
    <x:row r="144">
      <x:c r="A144" t="str">
        <x:v>BON-20260720-002</x:v>
      </x:c>
      <x:c r="B144" t="n">
        <x:v>16</x:v>
      </x:c>
      <x:c r="C144" t="str">
        <x:v>Fairtrade Avocado</x:v>
      </x:c>
      <x:c r="D144" t="n">
        <x:v>1</x:v>
      </x:c>
      <x:c r="E144" t="str">
        <x:v>Position</x:v>
      </x:c>
      <x:c r="F144" s="10" t="n">
        <x:v>2.6</x:v>
      </x:c>
      <x:c r="G144" s="10" t="n">
        <x:v>0</x:v>
      </x:c>
      <x:c r="H144" s="10" t="n">
        <x:v>2.6</x:v>
      </x:c>
      <x:c r="I144" t="str">
        <x:v>Gemeinschaft</x:v>
      </x:c>
      <x:c r="J144" s="10" t="n">
        <x:v>0</x:v>
      </x:c>
      <x:c r="K144" t="str"/>
    </x:row>
    <x:row r="145">
      <x:c r="A145" t="str">
        <x:v>BON-20260720-002</x:v>
      </x:c>
      <x:c r="B145" t="n">
        <x:v>17</x:v>
      </x:c>
      <x:c r="C145" t="str">
        <x:v>Bioland Zucchini</x:v>
      </x:c>
      <x:c r="D145" t="n">
        <x:v>1</x:v>
      </x:c>
      <x:c r="E145" t="str">
        <x:v>Position</x:v>
      </x:c>
      <x:c r="F145" s="10" t="n">
        <x:v>1.49</x:v>
      </x:c>
      <x:c r="G145" s="10" t="n">
        <x:v>0</x:v>
      </x:c>
      <x:c r="H145" s="10" t="n">
        <x:v>1.49</x:v>
      </x:c>
      <x:c r="I145" t="str">
        <x:v>Gemeinschaft</x:v>
      </x:c>
      <x:c r="J145" s="10" t="n">
        <x:v>0</x:v>
      </x:c>
      <x:c r="K145" t="str"/>
    </x:row>
    <x:row r="146">
      <x:c r="A146" t="str">
        <x:v>BON-20260720-002</x:v>
      </x:c>
      <x:c r="B146" t="n">
        <x:v>18</x:v>
      </x:c>
      <x:c r="C146" t="str">
        <x:v>Preisvorteil</x:v>
      </x:c>
      <x:c r="D146" t="n">
        <x:v>1</x:v>
      </x:c>
      <x:c r="E146" t="str">
        <x:v>Position</x:v>
      </x:c>
      <x:c r="F146" s="10" t="n">
        <x:v>-0.24</x:v>
      </x:c>
      <x:c r="G146" s="10" t="n">
        <x:v>0</x:v>
      </x:c>
      <x:c r="H146" s="10" t="n">
        <x:v>-0.24</x:v>
      </x:c>
      <x:c r="I146" t="str">
        <x:v>Gemeinschaft</x:v>
      </x:c>
      <x:c r="J146" s="10" t="n">
        <x:v>0</x:v>
      </x:c>
      <x:c r="K146" t="str"/>
    </x:row>
    <x:row r="147">
      <x:c r="A147" t="str">
        <x:v>BON-20260720-002</x:v>
      </x:c>
      <x:c r="B147" t="n">
        <x:v>19</x:v>
      </x:c>
      <x:c r="C147" t="str">
        <x:v>Bio Nektarinen</x:v>
      </x:c>
      <x:c r="D147" t="n">
        <x:v>1</x:v>
      </x:c>
      <x:c r="E147" t="str">
        <x:v>Position</x:v>
      </x:c>
      <x:c r="F147" s="10" t="n">
        <x:v>2.99</x:v>
      </x:c>
      <x:c r="G147" s="10" t="n">
        <x:v>0</x:v>
      </x:c>
      <x:c r="H147" s="10" t="n">
        <x:v>2.99</x:v>
      </x:c>
      <x:c r="I147" t="str">
        <x:v>Gemeinschaft</x:v>
      </x:c>
      <x:c r="J147" s="10" t="n">
        <x:v>0</x:v>
      </x:c>
      <x:c r="K147" t="str"/>
    </x:row>
    <x:row r="148">
      <x:c r="A148" t="str">
        <x:v>BON-20260720-002</x:v>
      </x:c>
      <x:c r="B148" t="n">
        <x:v>20</x:v>
      </x:c>
      <x:c r="C148" t="str">
        <x:v>Preisvorteil</x:v>
      </x:c>
      <x:c r="D148" t="n">
        <x:v>1</x:v>
      </x:c>
      <x:c r="E148" t="str">
        <x:v>Position</x:v>
      </x:c>
      <x:c r="F148" s="10" t="n">
        <x:v>-0.49</x:v>
      </x:c>
      <x:c r="G148" s="10" t="n">
        <x:v>0</x:v>
      </x:c>
      <x:c r="H148" s="10" t="n">
        <x:v>-0.49</x:v>
      </x:c>
      <x:c r="I148" t="str">
        <x:v>Gemeinschaft</x:v>
      </x:c>
      <x:c r="J148" s="10" t="n">
        <x:v>0</x:v>
      </x:c>
      <x:c r="K148" t="str"/>
    </x:row>
    <x:row r="149">
      <x:c r="A149" t="str">
        <x:v>BON-20260720-002</x:v>
      </x:c>
      <x:c r="B149" t="n">
        <x:v>21</x:v>
      </x:c>
      <x:c r="C149" t="str">
        <x:v>Himbeeren</x:v>
      </x:c>
      <x:c r="D149" t="n">
        <x:v>1</x:v>
      </x:c>
      <x:c r="E149" t="str">
        <x:v>Position</x:v>
      </x:c>
      <x:c r="F149" s="10" t="n">
        <x:v>4.99</x:v>
      </x:c>
      <x:c r="G149" s="10" t="n">
        <x:v>0</x:v>
      </x:c>
      <x:c r="H149" s="10" t="n">
        <x:v>4.99</x:v>
      </x:c>
      <x:c r="I149" t="str">
        <x:v>Gemeinschaft</x:v>
      </x:c>
      <x:c r="J149" s="10" t="n">
        <x:v>0</x:v>
      </x:c>
      <x:c r="K149" t="str"/>
    </x:row>
    <x:row r="150">
      <x:c r="A150" t="str">
        <x:v>BON-20260720-002</x:v>
      </x:c>
      <x:c r="B150" t="n">
        <x:v>22</x:v>
      </x:c>
      <x:c r="C150" t="str">
        <x:v>Lidl Plus Rabatt</x:v>
      </x:c>
      <x:c r="D150" t="n">
        <x:v>1</x:v>
      </x:c>
      <x:c r="E150" t="str">
        <x:v>Position</x:v>
      </x:c>
      <x:c r="F150" s="10" t="n">
        <x:v>-4.99</x:v>
      </x:c>
      <x:c r="G150" s="10" t="n">
        <x:v>0</x:v>
      </x:c>
      <x:c r="H150" s="10" t="n">
        <x:v>-4.99</x:v>
      </x:c>
      <x:c r="I150" t="str">
        <x:v>Gemeinschaft</x:v>
      </x:c>
      <x:c r="J150" s="10" t="n">
        <x:v>0</x:v>
      </x:c>
      <x:c r="K150" t="str"/>
    </x:row>
    <x:row r="151">
      <x:c r="A151" t="str">
        <x:v>BON-20260720-002</x:v>
      </x:c>
      <x:c r="B151" t="n">
        <x:v>23</x:v>
      </x:c>
      <x:c r="C151" t="str">
        <x:v>Bioland Nürnberger</x:v>
      </x:c>
      <x:c r="D151" t="n">
        <x:v>1</x:v>
      </x:c>
      <x:c r="E151" t="str">
        <x:v>Position</x:v>
      </x:c>
      <x:c r="F151" s="10" t="n">
        <x:v>3.99</x:v>
      </x:c>
      <x:c r="G151" s="10" t="n">
        <x:v>0</x:v>
      </x:c>
      <x:c r="H151" s="10" t="n">
        <x:v>3.99</x:v>
      </x:c>
      <x:c r="I151" t="str">
        <x:v>Gemeinschaft</x:v>
      </x:c>
      <x:c r="J151" s="10" t="n">
        <x:v>0</x:v>
      </x:c>
      <x:c r="K151" t="str"/>
    </x:row>
    <x:row r="152">
      <x:c r="A152" t="str">
        <x:v>BON-20260720-002</x:v>
      </x:c>
      <x:c r="B152" t="n">
        <x:v>24</x:v>
      </x:c>
      <x:c r="C152" t="str">
        <x:v>Bioland Schlagsahne</x:v>
      </x:c>
      <x:c r="D152" t="n">
        <x:v>1</x:v>
      </x:c>
      <x:c r="E152" t="str">
        <x:v>Position</x:v>
      </x:c>
      <x:c r="F152" s="10" t="n">
        <x:v>2.38</x:v>
      </x:c>
      <x:c r="G152" s="10" t="n">
        <x:v>0</x:v>
      </x:c>
      <x:c r="H152" s="10" t="n">
        <x:v>2.38</x:v>
      </x:c>
      <x:c r="I152" t="str">
        <x:v>Gemeinschaft</x:v>
      </x:c>
      <x:c r="J152" s="10" t="n">
        <x:v>0</x:v>
      </x:c>
      <x:c r="K152" t="str"/>
    </x:row>
    <x:row r="153">
      <x:c r="A153" t="str">
        <x:v>BON-20260720-002</x:v>
      </x:c>
      <x:c r="B153" t="n">
        <x:v>25</x:v>
      </x:c>
      <x:c r="C153" t="str">
        <x:v>Halloumi Grillkäse</x:v>
      </x:c>
      <x:c r="D153" t="n">
        <x:v>1</x:v>
      </x:c>
      <x:c r="E153" t="str">
        <x:v>Position</x:v>
      </x:c>
      <x:c r="F153" s="10" t="n">
        <x:v>4.98</x:v>
      </x:c>
      <x:c r="G153" s="10" t="n">
        <x:v>0</x:v>
      </x:c>
      <x:c r="H153" s="10" t="n">
        <x:v>4.98</x:v>
      </x:c>
      <x:c r="I153" t="str">
        <x:v>Gemeinschaft</x:v>
      </x:c>
      <x:c r="J153" s="10" t="n">
        <x:v>0</x:v>
      </x:c>
      <x:c r="K153" t="str"/>
    </x:row>
    <x:row r="154">
      <x:c r="A154" t="str">
        <x:v>BON-20260720-002</x:v>
      </x:c>
      <x:c r="B154" t="n">
        <x:v>26</x:v>
      </x:c>
      <x:c r="C154" t="str">
        <x:v>Bioland Frischmilch 3,8 %</x:v>
      </x:c>
      <x:c r="D154" t="n">
        <x:v>1</x:v>
      </x:c>
      <x:c r="E154" t="str">
        <x:v>Position</x:v>
      </x:c>
      <x:c r="F154" s="10" t="n">
        <x:v>2.7</x:v>
      </x:c>
      <x:c r="G154" s="10" t="n">
        <x:v>0</x:v>
      </x:c>
      <x:c r="H154" s="10" t="n">
        <x:v>2.7</x:v>
      </x:c>
      <x:c r="I154" t="str">
        <x:v>Gemeinschaft</x:v>
      </x:c>
      <x:c r="J154" s="10" t="n">
        <x:v>0</x:v>
      </x:c>
      <x:c r="K154" t="str"/>
    </x:row>
    <x:row r="155">
      <x:c r="A155" t="str">
        <x:v>BON-20260720-002</x:v>
      </x:c>
      <x:c r="B155" t="n">
        <x:v>27</x:v>
      </x:c>
      <x:c r="C155" t="str">
        <x:v>Bioland Mozzarella</x:v>
      </x:c>
      <x:c r="D155" t="n">
        <x:v>1</x:v>
      </x:c>
      <x:c r="E155" t="str">
        <x:v>Position</x:v>
      </x:c>
      <x:c r="F155" s="10" t="n">
        <x:v>1.29</x:v>
      </x:c>
      <x:c r="G155" s="10" t="n">
        <x:v>0</x:v>
      </x:c>
      <x:c r="H155" s="10" t="n">
        <x:v>1.29</x:v>
      </x:c>
      <x:c r="I155" t="str">
        <x:v>Gemeinschaft</x:v>
      </x:c>
      <x:c r="J155" s="10" t="n">
        <x:v>0</x:v>
      </x:c>
      <x:c r="K155" t="str"/>
    </x:row>
    <x:row r="156">
      <x:c r="A156" t="str">
        <x:v>BON-20260720-002</x:v>
      </x:c>
      <x:c r="B156" t="n">
        <x:v>28</x:v>
      </x:c>
      <x:c r="C156" t="str">
        <x:v>Bio-Griech. Feta</x:v>
      </x:c>
      <x:c r="D156" t="n">
        <x:v>1</x:v>
      </x:c>
      <x:c r="E156" t="str">
        <x:v>Position</x:v>
      </x:c>
      <x:c r="F156" s="10" t="n">
        <x:v>5.38</x:v>
      </x:c>
      <x:c r="G156" s="10" t="n">
        <x:v>0</x:v>
      </x:c>
      <x:c r="H156" s="10" t="n">
        <x:v>5.38</x:v>
      </x:c>
      <x:c r="I156" t="str">
        <x:v>Gemeinschaft</x:v>
      </x:c>
      <x:c r="J156" s="10" t="n">
        <x:v>0</x:v>
      </x:c>
      <x:c r="K156" t="str"/>
    </x:row>
    <x:row r="157">
      <x:c r="A157" t="str">
        <x:v>BON-20260720-002</x:v>
      </x:c>
      <x:c r="B157" t="n">
        <x:v>29</x:v>
      </x:c>
      <x:c r="C157" t="str">
        <x:v>Bio Crem. Joghurt mild</x:v>
      </x:c>
      <x:c r="D157" t="n">
        <x:v>1</x:v>
      </x:c>
      <x:c r="E157" t="str">
        <x:v>Position</x:v>
      </x:c>
      <x:c r="F157" s="10" t="n">
        <x:v>1.15</x:v>
      </x:c>
      <x:c r="G157" s="10" t="n">
        <x:v>0</x:v>
      </x:c>
      <x:c r="H157" s="10" t="n">
        <x:v>1.15</x:v>
      </x:c>
      <x:c r="I157" t="str">
        <x:v>Gemeinschaft</x:v>
      </x:c>
      <x:c r="J157" s="10" t="n">
        <x:v>0</x:v>
      </x:c>
      <x:c r="K157" t="str"/>
    </x:row>
    <x:row r="158">
      <x:c r="A158" t="str">
        <x:v>BON-20260720-002</x:v>
      </x:c>
      <x:c r="B158" t="n">
        <x:v>30</x:v>
      </x:c>
      <x:c r="C158" t="str">
        <x:v>Bio-Eier 10er</x:v>
      </x:c>
      <x:c r="D158" t="n">
        <x:v>1</x:v>
      </x:c>
      <x:c r="E158" t="str">
        <x:v>Position</x:v>
      </x:c>
      <x:c r="F158" s="10" t="n">
        <x:v>11.97</x:v>
      </x:c>
      <x:c r="G158" s="10" t="n">
        <x:v>0</x:v>
      </x:c>
      <x:c r="H158" s="10" t="n">
        <x:v>11.97</x:v>
      </x:c>
      <x:c r="I158" t="str">
        <x:v>Gemeinschaft</x:v>
      </x:c>
      <x:c r="J158" s="10" t="n">
        <x:v>0</x:v>
      </x:c>
      <x:c r="K158" t="str"/>
    </x:row>
    <x:row r="159">
      <x:c r="A159" t="str">
        <x:v>BON-20260720-002</x:v>
      </x:c>
      <x:c r="B159" t="n">
        <x:v>31</x:v>
      </x:c>
      <x:c r="C159" t="str">
        <x:v>Lidl Plus Rabatt</x:v>
      </x:c>
      <x:c r="D159" t="n">
        <x:v>1</x:v>
      </x:c>
      <x:c r="E159" t="str">
        <x:v>Position</x:v>
      </x:c>
      <x:c r="F159" s="10" t="n">
        <x:v>-1.8</x:v>
      </x:c>
      <x:c r="G159" s="10" t="n">
        <x:v>0</x:v>
      </x:c>
      <x:c r="H159" s="10" t="n">
        <x:v>-1.8</x:v>
      </x:c>
      <x:c r="I159" t="str">
        <x:v>Gemeinschaft</x:v>
      </x:c>
      <x:c r="J159" s="10" t="n">
        <x:v>0</x:v>
      </x:c>
      <x:c r="K159" t="str"/>
    </x:row>
    <x:row r="160">
      <x:c r="A160" t="str">
        <x:v>BON-20260720-002</x:v>
      </x:c>
      <x:c r="B160" t="n">
        <x:v>32</x:v>
      </x:c>
      <x:c r="C160" t="str">
        <x:v>Hülsenfrüchte</x:v>
      </x:c>
      <x:c r="D160" t="n">
        <x:v>1</x:v>
      </x:c>
      <x:c r="E160" t="str">
        <x:v>Position</x:v>
      </x:c>
      <x:c r="F160" s="10" t="n">
        <x:v>1.45</x:v>
      </x:c>
      <x:c r="G160" s="10" t="n">
        <x:v>0</x:v>
      </x:c>
      <x:c r="H160" s="10" t="n">
        <x:v>1.45</x:v>
      </x:c>
      <x:c r="I160" t="str">
        <x:v>Gemeinschaft</x:v>
      </x:c>
      <x:c r="J160" s="10" t="n">
        <x:v>0</x:v>
      </x:c>
      <x:c r="K160" t="str"/>
    </x:row>
    <x:row r="161">
      <x:c r="A161" t="str">
        <x:v>BON-20260720-002</x:v>
      </x:c>
      <x:c r="B161" t="n">
        <x:v>33</x:v>
      </x:c>
      <x:c r="C161" t="str">
        <x:v>Bio Quinoa weiß</x:v>
      </x:c>
      <x:c r="D161" t="n">
        <x:v>1</x:v>
      </x:c>
      <x:c r="E161" t="str">
        <x:v>Position</x:v>
      </x:c>
      <x:c r="F161" s="10" t="n">
        <x:v>2.29</x:v>
      </x:c>
      <x:c r="G161" s="10" t="n">
        <x:v>0</x:v>
      </x:c>
      <x:c r="H161" s="10" t="n">
        <x:v>2.29</x:v>
      </x:c>
      <x:c r="I161" t="str">
        <x:v>Gemeinschaft</x:v>
      </x:c>
      <x:c r="J161" s="10" t="n">
        <x:v>0</x:v>
      </x:c>
      <x:c r="K161" t="str"/>
    </x:row>
    <x:row r="162">
      <x:c r="A162" t="str">
        <x:v>BON-20260720-002</x:v>
      </x:c>
      <x:c r="B162" t="n">
        <x:v>34</x:v>
      </x:c>
      <x:c r="C162" t="str">
        <x:v>Bio Fairtrade Café</x:v>
      </x:c>
      <x:c r="D162" t="n">
        <x:v>1</x:v>
      </x:c>
      <x:c r="E162" t="str">
        <x:v>Position</x:v>
      </x:c>
      <x:c r="F162" s="10" t="n">
        <x:v>7.75</x:v>
      </x:c>
      <x:c r="G162" s="10" t="n">
        <x:v>0</x:v>
      </x:c>
      <x:c r="H162" s="10" t="n">
        <x:v>7.75</x:v>
      </x:c>
      <x:c r="I162" t="str">
        <x:v>Gemeinschaft</x:v>
      </x:c>
      <x:c r="J162" s="10" t="n">
        <x:v>0</x:v>
      </x:c>
      <x:c r="K162" t="str"/>
    </x:row>
    <x:row r="163">
      <x:c r="A163" t="str">
        <x:v>BON-20260720-002</x:v>
      </x:c>
      <x:c r="B163" t="n">
        <x:v>35</x:v>
      </x:c>
      <x:c r="C163" t="str">
        <x:v>Preisvorteil</x:v>
      </x:c>
      <x:c r="D163" t="n">
        <x:v>1</x:v>
      </x:c>
      <x:c r="E163" t="str">
        <x:v>Position</x:v>
      </x:c>
      <x:c r="F163" s="10" t="n">
        <x:v>-0.3</x:v>
      </x:c>
      <x:c r="G163" s="10" t="n">
        <x:v>0</x:v>
      </x:c>
      <x:c r="H163" s="10" t="n">
        <x:v>-0.3</x:v>
      </x:c>
      <x:c r="I163" t="str">
        <x:v>Gemeinschaft</x:v>
      </x:c>
      <x:c r="J163" s="10" t="n">
        <x:v>0</x:v>
      </x:c>
      <x:c r="K163" t="str"/>
    </x:row>
    <x:row r="164">
      <x:c r="A164" t="str">
        <x:v>BON-20260720-002</x:v>
      </x:c>
      <x:c r="B164" t="n">
        <x:v>36</x:v>
      </x:c>
      <x:c r="C164" t="str">
        <x:v>Bio Basmati Reis</x:v>
      </x:c>
      <x:c r="D164" t="n">
        <x:v>1</x:v>
      </x:c>
      <x:c r="E164" t="str">
        <x:v>Position</x:v>
      </x:c>
      <x:c r="F164" s="10" t="n">
        <x:v>3.18</x:v>
      </x:c>
      <x:c r="G164" s="10" t="n">
        <x:v>0</x:v>
      </x:c>
      <x:c r="H164" s="10" t="n">
        <x:v>3.18</x:v>
      </x:c>
      <x:c r="I164" t="str">
        <x:v>Gemeinschaft</x:v>
      </x:c>
      <x:c r="J164" s="10" t="n">
        <x:v>0</x:v>
      </x:c>
      <x:c r="K164" t="str"/>
    </x:row>
    <x:row r="165">
      <x:c r="A165" t="str">
        <x:v>BON-20260720-002</x:v>
      </x:c>
      <x:c r="B165" t="n">
        <x:v>37</x:v>
      </x:c>
      <x:c r="C165" t="str">
        <x:v>Surig Essig-Essenz</x:v>
      </x:c>
      <x:c r="D165" t="n">
        <x:v>1</x:v>
      </x:c>
      <x:c r="E165" t="str">
        <x:v>Position</x:v>
      </x:c>
      <x:c r="F165" s="10" t="n">
        <x:v>1.49</x:v>
      </x:c>
      <x:c r="G165" s="10" t="n">
        <x:v>0</x:v>
      </x:c>
      <x:c r="H165" s="10" t="n">
        <x:v>1.49</x:v>
      </x:c>
      <x:c r="I165" t="str">
        <x:v>Gemeinschaft</x:v>
      </x:c>
      <x:c r="J165" s="10" t="n">
        <x:v>0</x:v>
      </x:c>
      <x:c r="K165" t="str"/>
    </x:row>
    <x:row r="166">
      <x:c r="A166" t="str">
        <x:v>BON-20260720-002</x:v>
      </x:c>
      <x:c r="B166" t="n">
        <x:v>38</x:v>
      </x:c>
      <x:c r="C166" t="str">
        <x:v>Bio Passierte Tomaten</x:v>
      </x:c>
      <x:c r="D166" t="n">
        <x:v>1</x:v>
      </x:c>
      <x:c r="E166" t="str">
        <x:v>Position</x:v>
      </x:c>
      <x:c r="F166" s="10" t="n">
        <x:v>2.07</x:v>
      </x:c>
      <x:c r="G166" s="10" t="n">
        <x:v>0</x:v>
      </x:c>
      <x:c r="H166" s="10" t="n">
        <x:v>2.07</x:v>
      </x:c>
      <x:c r="I166" t="str">
        <x:v>Gemeinschaft</x:v>
      </x:c>
      <x:c r="J166" s="10" t="n">
        <x:v>0</x:v>
      </x:c>
      <x:c r="K166" t="str"/>
    </x:row>
    <x:row r="167">
      <x:c r="A167" t="str">
        <x:v>BON-20260720-002</x:v>
      </x:c>
      <x:c r="B167" t="n">
        <x:v>39</x:v>
      </x:c>
      <x:c r="C167" t="str">
        <x:v>Thunfischsteak</x:v>
      </x:c>
      <x:c r="D167" t="n">
        <x:v>1</x:v>
      </x:c>
      <x:c r="E167" t="str">
        <x:v>Position</x:v>
      </x:c>
      <x:c r="F167" s="10" t="n">
        <x:v>2.78</x:v>
      </x:c>
      <x:c r="G167" s="10" t="n">
        <x:v>0</x:v>
      </x:c>
      <x:c r="H167" s="10" t="n">
        <x:v>2.78</x:v>
      </x:c>
      <x:c r="I167" t="str">
        <x:v>Gemeinschaft</x:v>
      </x:c>
      <x:c r="J167" s="10" t="n">
        <x:v>0</x:v>
      </x:c>
      <x:c r="K167" t="str"/>
    </x:row>
    <x:row r="168">
      <x:c r="A168" t="str">
        <x:v>BON-20260720-002</x:v>
      </x:c>
      <x:c r="B168" t="n">
        <x:v>40</x:v>
      </x:c>
      <x:c r="C168" t="str">
        <x:v>Preisvorteil</x:v>
      </x:c>
      <x:c r="D168" t="n">
        <x:v>1</x:v>
      </x:c>
      <x:c r="E168" t="str">
        <x:v>Position</x:v>
      </x:c>
      <x:c r="F168" s="10" t="n">
        <x:v>-0.2</x:v>
      </x:c>
      <x:c r="G168" s="10" t="n">
        <x:v>0</x:v>
      </x:c>
      <x:c r="H168" s="10" t="n">
        <x:v>-0.2</x:v>
      </x:c>
      <x:c r="I168" t="str">
        <x:v>Gemeinschaft</x:v>
      </x:c>
      <x:c r="J168" s="10" t="n">
        <x:v>0</x:v>
      </x:c>
      <x:c r="K168" t="str"/>
    </x:row>
    <x:row r="169">
      <x:c r="A169" t="str">
        <x:v>BON-20260720-002</x:v>
      </x:c>
      <x:c r="B169" t="n">
        <x:v>41</x:v>
      </x:c>
      <x:c r="C169" t="str">
        <x:v>Kichererbsen</x:v>
      </x:c>
      <x:c r="D169" t="n">
        <x:v>1</x:v>
      </x:c>
      <x:c r="E169" t="str">
        <x:v>Position</x:v>
      </x:c>
      <x:c r="F169" s="10" t="n">
        <x:v>0.59</x:v>
      </x:c>
      <x:c r="G169" s="10" t="n">
        <x:v>0</x:v>
      </x:c>
      <x:c r="H169" s="10" t="n">
        <x:v>0.59</x:v>
      </x:c>
      <x:c r="I169" t="str">
        <x:v>Gemeinschaft</x:v>
      </x:c>
      <x:c r="J169" s="10" t="n">
        <x:v>0</x:v>
      </x:c>
      <x:c r="K169" t="str"/>
    </x:row>
    <x:row r="170">
      <x:c r="A170" t="str">
        <x:v>BON-20260720-002</x:v>
      </x:c>
      <x:c r="B170" t="n">
        <x:v>42</x:v>
      </x:c>
      <x:c r="C170" t="str">
        <x:v>Bio Kokosnussmilch</x:v>
      </x:c>
      <x:c r="D170" t="n">
        <x:v>1</x:v>
      </x:c>
      <x:c r="E170" t="str">
        <x:v>Position</x:v>
      </x:c>
      <x:c r="F170" s="10" t="n">
        <x:v>2.3</x:v>
      </x:c>
      <x:c r="G170" s="10" t="n">
        <x:v>0</x:v>
      </x:c>
      <x:c r="H170" s="10" t="n">
        <x:v>2.3</x:v>
      </x:c>
      <x:c r="I170" t="str">
        <x:v>Gemeinschaft</x:v>
      </x:c>
      <x:c r="J170" s="10" t="n">
        <x:v>0</x:v>
      </x:c>
      <x:c r="K170" t="str"/>
    </x:row>
    <x:row r="171">
      <x:c r="A171" t="str">
        <x:v>BON-20260720-002</x:v>
      </x:c>
      <x:c r="B171" t="n">
        <x:v>43</x:v>
      </x:c>
      <x:c r="C171" t="str">
        <x:v>Oliven ohne Stein Basilikum</x:v>
      </x:c>
      <x:c r="D171" t="n">
        <x:v>1</x:v>
      </x:c>
      <x:c r="E171" t="str">
        <x:v>Position</x:v>
      </x:c>
      <x:c r="F171" s="10" t="n">
        <x:v>1.49</x:v>
      </x:c>
      <x:c r="G171" s="10" t="n">
        <x:v>0</x:v>
      </x:c>
      <x:c r="H171" s="10" t="n">
        <x:v>1.49</x:v>
      </x:c>
      <x:c r="I171" t="str">
        <x:v>Gemeinschaft</x:v>
      </x:c>
      <x:c r="J171" s="10" t="n">
        <x:v>0</x:v>
      </x:c>
      <x:c r="K171" t="str"/>
    </x:row>
    <x:row r="172">
      <x:c r="A172" t="str">
        <x:v>BON-20260720-002</x:v>
      </x:c>
      <x:c r="B172" t="n">
        <x:v>44</x:v>
      </x:c>
      <x:c r="C172" t="str">
        <x:v>Kalamata Oliven ohne Stein</x:v>
      </x:c>
      <x:c r="D172" t="n">
        <x:v>1</x:v>
      </x:c>
      <x:c r="E172" t="str">
        <x:v>Position</x:v>
      </x:c>
      <x:c r="F172" s="10" t="n">
        <x:v>1.49</x:v>
      </x:c>
      <x:c r="G172" s="10" t="n">
        <x:v>0</x:v>
      </x:c>
      <x:c r="H172" s="10" t="n">
        <x:v>1.49</x:v>
      </x:c>
      <x:c r="I172" t="str">
        <x:v>Gemeinschaft</x:v>
      </x:c>
      <x:c r="J172" s="10" t="n">
        <x:v>0</x:v>
      </x:c>
      <x:c r="K172" t="str"/>
    </x:row>
    <x:row r="173">
      <x:c r="A173" t="str">
        <x:v>BON-20260720-002</x:v>
      </x:c>
      <x:c r="B173" t="n">
        <x:v>45</x:v>
      </x:c>
      <x:c r="C173" t="str">
        <x:v>Coca-Cola</x:v>
      </x:c>
      <x:c r="D173" t="n">
        <x:v>1</x:v>
      </x:c>
      <x:c r="E173" t="str">
        <x:v>Position</x:v>
      </x:c>
      <x:c r="F173" s="10" t="n">
        <x:v>1.49</x:v>
      </x:c>
      <x:c r="G173" s="10" t="n">
        <x:v>0</x:v>
      </x:c>
      <x:c r="H173" s="10" t="n">
        <x:v>1.49</x:v>
      </x:c>
      <x:c r="I173" t="str">
        <x:v>Gemeinschaft</x:v>
      </x:c>
      <x:c r="J173" s="10" t="n">
        <x:v>0</x:v>
      </x:c>
      <x:c r="K173" t="str"/>
    </x:row>
    <x:row r="174">
      <x:c r="A174" t="str">
        <x:v>BON-20260720-002</x:v>
      </x:c>
      <x:c r="B174" t="n">
        <x:v>46</x:v>
      </x:c>
      <x:c r="C174" t="str">
        <x:v>Pfand 0,25 €</x:v>
      </x:c>
      <x:c r="D174" t="n">
        <x:v>1</x:v>
      </x:c>
      <x:c r="E174" t="str">
        <x:v>Position</x:v>
      </x:c>
      <x:c r="F174" s="10" t="n">
        <x:v>0.25</x:v>
      </x:c>
      <x:c r="G174" s="10" t="n">
        <x:v>0</x:v>
      </x:c>
      <x:c r="H174" s="10" t="n">
        <x:v>0.25</x:v>
      </x:c>
      <x:c r="I174" t="str">
        <x:v>Gemeinschaft</x:v>
      </x:c>
      <x:c r="J174" s="10" t="n">
        <x:v>0</x:v>
      </x:c>
      <x:c r="K174" t="str"/>
    </x:row>
    <x:row r="175">
      <x:c r="A175" t="str">
        <x:v>BON-20260720-002</x:v>
      </x:c>
      <x:c r="B175" t="n">
        <x:v>47</x:v>
      </x:c>
      <x:c r="C175" t="str">
        <x:v>Almdudler Original</x:v>
      </x:c>
      <x:c r="D175" t="n">
        <x:v>1</x:v>
      </x:c>
      <x:c r="E175" t="str">
        <x:v>Position</x:v>
      </x:c>
      <x:c r="F175" s="10" t="n">
        <x:v>1.11</x:v>
      </x:c>
      <x:c r="G175" s="10" t="n">
        <x:v>0</x:v>
      </x:c>
      <x:c r="H175" s="10" t="n">
        <x:v>1.11</x:v>
      </x:c>
      <x:c r="I175" t="str">
        <x:v>Gemeinschaft</x:v>
      </x:c>
      <x:c r="J175" s="10" t="n">
        <x:v>0</x:v>
      </x:c>
      <x:c r="K175" t="str"/>
    </x:row>
    <x:row r="176">
      <x:c r="A176" t="str">
        <x:v>BON-20260720-002</x:v>
      </x:c>
      <x:c r="B176" t="n">
        <x:v>48</x:v>
      </x:c>
      <x:c r="C176" t="str">
        <x:v>Pfand 0,25 €</x:v>
      </x:c>
      <x:c r="D176" t="n">
        <x:v>1</x:v>
      </x:c>
      <x:c r="E176" t="str">
        <x:v>Position</x:v>
      </x:c>
      <x:c r="F176" s="10" t="n">
        <x:v>0.25</x:v>
      </x:c>
      <x:c r="G176" s="10" t="n">
        <x:v>0</x:v>
      </x:c>
      <x:c r="H176" s="10" t="n">
        <x:v>0.25</x:v>
      </x:c>
      <x:c r="I176" t="str">
        <x:v>Gemeinschaft</x:v>
      </x:c>
      <x:c r="J176" s="10" t="n">
        <x:v>0</x:v>
      </x:c>
      <x:c r="K176" t="str"/>
    </x:row>
    <x:row r="177">
      <x:c r="A177" t="str">
        <x:v>BON-20260720-002</x:v>
      </x:c>
      <x:c r="B177" t="n">
        <x:v>49</x:v>
      </x:c>
      <x:c r="C177" t="str">
        <x:v>Bio Mandeln</x:v>
      </x:c>
      <x:c r="D177" t="n">
        <x:v>1</x:v>
      </x:c>
      <x:c r="E177" t="str">
        <x:v>Position</x:v>
      </x:c>
      <x:c r="F177" s="10" t="n">
        <x:v>2.19</x:v>
      </x:c>
      <x:c r="G177" s="10" t="n">
        <x:v>0</x:v>
      </x:c>
      <x:c r="H177" s="10" t="n">
        <x:v>2.19</x:v>
      </x:c>
      <x:c r="I177" t="str">
        <x:v>Gemeinschaft</x:v>
      </x:c>
      <x:c r="J177" s="10" t="n">
        <x:v>0</x:v>
      </x:c>
      <x:c r="K177" t="str"/>
    </x:row>
    <x:row r="178">
      <x:c r="A178" t="str">
        <x:v>BON-20260720-002</x:v>
      </x:c>
      <x:c r="B178" t="n">
        <x:v>50</x:v>
      </x:c>
      <x:c r="C178" t="str">
        <x:v>Cruspies Paprika</x:v>
      </x:c>
      <x:c r="D178" t="n">
        <x:v>1</x:v>
      </x:c>
      <x:c r="E178" t="str">
        <x:v>Position</x:v>
      </x:c>
      <x:c r="F178" s="10" t="n">
        <x:v>1.19</x:v>
      </x:c>
      <x:c r="G178" s="10" t="n">
        <x:v>0</x:v>
      </x:c>
      <x:c r="H178" s="10" t="n">
        <x:v>1.19</x:v>
      </x:c>
      <x:c r="I178" t="str">
        <x:v>Gemeinschaft</x:v>
      </x:c>
      <x:c r="J178" s="10" t="n">
        <x:v>0</x:v>
      </x:c>
      <x:c r="K178" t="str"/>
    </x:row>
    <x:row r="179">
      <x:c r="A179" t="str">
        <x:v>BON-20260720-002</x:v>
      </x:c>
      <x:c r="B179" t="n">
        <x:v>51</x:v>
      </x:c>
      <x:c r="C179" t="str">
        <x:v>Bio Frischei-Waffeln</x:v>
      </x:c>
      <x:c r="D179" t="n">
        <x:v>1</x:v>
      </x:c>
      <x:c r="E179" t="str">
        <x:v>Position</x:v>
      </x:c>
      <x:c r="F179" s="10" t="n">
        <x:v>1.35</x:v>
      </x:c>
      <x:c r="G179" s="10" t="n">
        <x:v>0</x:v>
      </x:c>
      <x:c r="H179" s="10" t="n">
        <x:v>1.35</x:v>
      </x:c>
      <x:c r="I179" t="str">
        <x:v>Gemeinschaft</x:v>
      </x:c>
      <x:c r="J179" s="10" t="n">
        <x:v>0</x:v>
      </x:c>
      <x:c r="K179" t="str"/>
    </x:row>
    <x:row r="180">
      <x:c r="A180" t="str">
        <x:v>BON-20260720-002</x:v>
      </x:c>
      <x:c r="B180" t="n">
        <x:v>52</x:v>
      </x:c>
      <x:c r="C180" t="str">
        <x:v>Always Binden Gr2</x:v>
      </x:c>
      <x:c r="D180" t="n">
        <x:v>1</x:v>
      </x:c>
      <x:c r="E180" t="str">
        <x:v>Position</x:v>
      </x:c>
      <x:c r="F180" s="10" t="n">
        <x:v>4.99</x:v>
      </x:c>
      <x:c r="G180" s="10" t="n">
        <x:v>0</x:v>
      </x:c>
      <x:c r="H180" s="10" t="n">
        <x:v>4.99</x:v>
      </x:c>
      <x:c r="I180" t="str">
        <x:v>Onkel + Tante</x:v>
      </x:c>
      <x:c r="J180" s="10" t="n">
        <x:v>0</x:v>
      </x:c>
      <x:c r="K180" t="str"/>
    </x:row>
    <x:row r="181">
      <x:c r="A181" t="str">
        <x:v>BON-20260720-002</x:v>
      </x:c>
      <x:c r="B181" t="n">
        <x:v>53</x:v>
      </x:c>
      <x:c r="C181" t="str">
        <x:v>Toilettenpapier 3-lag</x:v>
      </x:c>
      <x:c r="D181" t="n">
        <x:v>1</x:v>
      </x:c>
      <x:c r="E181" t="str">
        <x:v>Position</x:v>
      </x:c>
      <x:c r="F181" s="10" t="n">
        <x:v>5.38</x:v>
      </x:c>
      <x:c r="G181" s="10" t="n">
        <x:v>0</x:v>
      </x:c>
      <x:c r="H181" s="10" t="n">
        <x:v>5.38</x:v>
      </x:c>
      <x:c r="I181" t="str">
        <x:v>Gemeinschaft</x:v>
      </x:c>
      <x:c r="J181" s="10" t="n">
        <x:v>0</x:v>
      </x:c>
      <x:c r="K181" t="str"/>
    </x:row>
    <x:row r="182">
      <x:c r="A182" t="str">
        <x:v>BON-20260720-002</x:v>
      </x:c>
      <x:c r="B182" t="n">
        <x:v>54</x:v>
      </x:c>
      <x:c r="C182" t="str">
        <x:v>Preisvorteil</x:v>
      </x:c>
      <x:c r="D182" t="n">
        <x:v>1</x:v>
      </x:c>
      <x:c r="E182" t="str">
        <x:v>Position</x:v>
      </x:c>
      <x:c r="F182" s="10" t="n">
        <x:v>-0.08</x:v>
      </x:c>
      <x:c r="G182" s="10" t="n">
        <x:v>0</x:v>
      </x:c>
      <x:c r="H182" s="10" t="n">
        <x:v>-0.08</x:v>
      </x:c>
      <x:c r="I182" t="str">
        <x:v>Gemeinschaft</x:v>
      </x:c>
      <x:c r="J182" s="10" t="n">
        <x:v>0</x:v>
      </x:c>
      <x:c r="K182" t="str"/>
    </x:row>
    <x:row r="183">
      <x:c r="A183" t="str">
        <x:v>BON-20260720-002</x:v>
      </x:c>
      <x:c r="B183" t="n">
        <x:v>55</x:v>
      </x:c>
      <x:c r="C183" t="str">
        <x:v>Küchentücher 3-lag Dekor</x:v>
      </x:c>
      <x:c r="D183" t="n">
        <x:v>1</x:v>
      </x:c>
      <x:c r="E183" t="str">
        <x:v>Position</x:v>
      </x:c>
      <x:c r="F183" s="10" t="n">
        <x:v>2.79</x:v>
      </x:c>
      <x:c r="G183" s="10" t="n">
        <x:v>0</x:v>
      </x:c>
      <x:c r="H183" s="10" t="n">
        <x:v>2.79</x:v>
      </x:c>
      <x:c r="I183" t="str">
        <x:v>Gemeinschaft</x:v>
      </x:c>
      <x:c r="J183" s="10" t="n">
        <x:v>0</x:v>
      </x:c>
      <x:c r="K183" t="str"/>
    </x:row>
    <x:row r="184">
      <x:c r="A184" t="str">
        <x:v>BON-20260720-002</x:v>
      </x:c>
      <x:c r="B184" t="n">
        <x:v>56</x:v>
      </x:c>
      <x:c r="C184" t="str">
        <x:v>Pfandrückgabe</x:v>
      </x:c>
      <x:c r="D184" t="n">
        <x:v>1</x:v>
      </x:c>
      <x:c r="E184" t="str">
        <x:v>Position</x:v>
      </x:c>
      <x:c r="F184" s="10" t="n">
        <x:v>-0.25</x:v>
      </x:c>
      <x:c r="G184" s="10" t="n">
        <x:v>0</x:v>
      </x:c>
      <x:c r="H184" s="10" t="n">
        <x:v>-0.25</x:v>
      </x:c>
      <x:c r="I184" t="str">
        <x:v>Gemeinschaft</x:v>
      </x:c>
      <x:c r="J184" s="10" t="n">
        <x:v>0</x:v>
      </x:c>
      <x:c r="K184" t="str"/>
    </x:row>
    <x:row r="185">
      <x:c r="A185" t="str">
        <x:v>BON-20260720-003</x:v>
      </x:c>
      <x:c r="B185" t="n">
        <x:v>1</x:v>
      </x:c>
      <x:c r="C185" t="str">
        <x:v>Bio Frischkäse</x:v>
      </x:c>
      <x:c r="D185" t="n">
        <x:v>6</x:v>
      </x:c>
      <x:c r="E185" t="str">
        <x:v>Stk.</x:v>
      </x:c>
      <x:c r="F185" s="10" t="n">
        <x:v>8.34</x:v>
      </x:c>
      <x:c r="G185" s="10" t="n">
        <x:v>0</x:v>
      </x:c>
      <x:c r="H185" s="10" t="n">
        <x:v>8.34</x:v>
      </x:c>
      <x:c r="I185" t="str">
        <x:v>Gemeinschaft</x:v>
      </x:c>
      <x:c r="J185" s="10" t="n">
        <x:v>0</x:v>
      </x:c>
      <x:c r="K185" t="str"/>
    </x:row>
    <x:row r="186">
      <x:c r="A186" t="str">
        <x:v>BON-20260720-003</x:v>
      </x:c>
      <x:c r="B186" t="n">
        <x:v>2</x:v>
      </x:c>
      <x:c r="C186" t="str">
        <x:v>Bio Staudensellerie</x:v>
      </x:c>
      <x:c r="D186" t="n">
        <x:v>1</x:v>
      </x:c>
      <x:c r="E186" t="str">
        <x:v>Stk.</x:v>
      </x:c>
      <x:c r="F186" s="10" t="n">
        <x:v>2.49</x:v>
      </x:c>
      <x:c r="G186" s="10" t="n">
        <x:v>0</x:v>
      </x:c>
      <x:c r="H186" s="10" t="n">
        <x:v>2.49</x:v>
      </x:c>
      <x:c r="I186" t="str">
        <x:v>Gemeinschaft</x:v>
      </x:c>
      <x:c r="J186" s="10" t="n">
        <x:v>0</x:v>
      </x:c>
      <x:c r="K186" t="str"/>
    </x:row>
    <x:row r="187">
      <x:c r="A187" t="str">
        <x:v>BON-20260720-003</x:v>
      </x:c>
      <x:c r="B187" t="n">
        <x:v>3</x:v>
      </x:c>
      <x:c r="C187" t="str">
        <x:v>Chili Duo 80 g</x:v>
      </x:c>
      <x:c r="D187" t="n">
        <x:v>1</x:v>
      </x:c>
      <x:c r="E187" t="str">
        <x:v>Packung</x:v>
      </x:c>
      <x:c r="F187" s="10" t="n">
        <x:v>2.79</x:v>
      </x:c>
      <x:c r="G187" s="10" t="n">
        <x:v>0</x:v>
      </x:c>
      <x:c r="H187" s="10" t="n">
        <x:v>2.79</x:v>
      </x:c>
      <x:c r="I187" t="str">
        <x:v>Gemeinschaft</x:v>
      </x:c>
      <x:c r="J187" s="10" t="n">
        <x:v>0</x:v>
      </x:c>
      <x:c r="K187" t="str"/>
    </x:row>
    <x:row r="188">
      <x:c r="A188" t="str">
        <x:v>BON-20260720-003</x:v>
      </x:c>
      <x:c r="B188" t="n">
        <x:v>4</x:v>
      </x:c>
      <x:c r="C188" t="str">
        <x:v>Kräuterbutter</x:v>
      </x:c>
      <x:c r="D188" t="n">
        <x:v>1</x:v>
      </x:c>
      <x:c r="E188" t="str">
        <x:v>Packung</x:v>
      </x:c>
      <x:c r="F188" s="10" t="n">
        <x:v>2.19</x:v>
      </x:c>
      <x:c r="G188" s="10" t="n">
        <x:v>0</x:v>
      </x:c>
      <x:c r="H188" s="10" t="n">
        <x:v>2.19</x:v>
      </x:c>
      <x:c r="I188" t="str">
        <x:v>Gemeinschaft</x:v>
      </x:c>
      <x:c r="J188" s="10" t="n">
        <x:v>0</x:v>
      </x:c>
      <x:c r="K188" t="str"/>
    </x:row>
    <x:row r="189">
      <x:c r="A189" t="str">
        <x:v>BON-20260720-003</x:v>
      </x:c>
      <x:c r="B189" t="n">
        <x:v>5</x:v>
      </x:c>
      <x:c r="C189" t="str">
        <x:v>Bio Quark halbfett</x:v>
      </x:c>
      <x:c r="D189" t="n">
        <x:v>2</x:v>
      </x:c>
      <x:c r="E189" t="str">
        <x:v>Stk.</x:v>
      </x:c>
      <x:c r="F189" s="10" t="n">
        <x:v>2.58</x:v>
      </x:c>
      <x:c r="G189" s="10" t="n">
        <x:v>0</x:v>
      </x:c>
      <x:c r="H189" s="10" t="n">
        <x:v>2.58</x:v>
      </x:c>
      <x:c r="I189" t="str">
        <x:v>Gemeinschaft</x:v>
      </x:c>
      <x:c r="J189" s="10" t="n">
        <x:v>0</x:v>
      </x:c>
      <x:c r="K189" t="str"/>
    </x:row>
    <x:row r="190">
      <x:c r="A190" t="str">
        <x:v>BON-20260720-003</x:v>
      </x:c>
      <x:c r="B190" t="n">
        <x:v>6</x:v>
      </x:c>
      <x:c r="C190" t="str">
        <x:v>Bio Saure Sahne</x:v>
      </x:c>
      <x:c r="D190" t="n">
        <x:v>1</x:v>
      </x:c>
      <x:c r="E190" t="str">
        <x:v>Becher</x:v>
      </x:c>
      <x:c r="F190" s="10" t="n">
        <x:v>0.85</x:v>
      </x:c>
      <x:c r="G190" s="10" t="n">
        <x:v>0</x:v>
      </x:c>
      <x:c r="H190" s="10" t="n">
        <x:v>0.85</x:v>
      </x:c>
      <x:c r="I190" t="str">
        <x:v>Gemeinschaft</x:v>
      </x:c>
      <x:c r="J190" s="10" t="n">
        <x:v>0</x:v>
      </x:c>
      <x:c r="K190" t="str"/>
    </x:row>
    <x:row r="191">
      <x:c r="A191" t="str">
        <x:v>BON-20260720-003</x:v>
      </x:c>
      <x:c r="B191" t="n">
        <x:v>7</x:v>
      </x:c>
      <x:c r="C191" t="str">
        <x:v>Soya Himbeere-Apfel</x:v>
      </x:c>
      <x:c r="D191" t="n">
        <x:v>1</x:v>
      </x:c>
      <x:c r="E191" t="str">
        <x:v>Packung</x:v>
      </x:c>
      <x:c r="F191" s="10" t="n">
        <x:v>2.19</x:v>
      </x:c>
      <x:c r="G191" s="10" t="n">
        <x:v>0</x:v>
      </x:c>
      <x:c r="H191" s="10" t="n">
        <x:v>2.19</x:v>
      </x:c>
      <x:c r="I191" t="str">
        <x:v>Gemeinschaft</x:v>
      </x:c>
      <x:c r="J191" s="10" t="n">
        <x:v>0</x:v>
      </x:c>
      <x:c r="K191" t="str"/>
    </x:row>
    <x:row r="192">
      <x:c r="A192" t="str">
        <x:v>BON-20260720-003</x:v>
      </x:c>
      <x:c r="B192" t="n">
        <x:v>8</x:v>
      </x:c>
      <x:c r="C192" t="str">
        <x:v>Hot Chocolate Brownie</x:v>
      </x:c>
      <x:c r="D192" t="n">
        <x:v>1</x:v>
      </x:c>
      <x:c r="E192" t="str">
        <x:v>Packung</x:v>
      </x:c>
      <x:c r="F192" s="10" t="n">
        <x:v>4.99</x:v>
      </x:c>
      <x:c r="G192" s="10" t="n">
        <x:v>0</x:v>
      </x:c>
      <x:c r="H192" s="10" t="n">
        <x:v>4.99</x:v>
      </x:c>
      <x:c r="I192" t="str">
        <x:v>Gemeinschaft</x:v>
      </x:c>
      <x:c r="J192" s="10" t="n">
        <x:v>0</x:v>
      </x:c>
      <x:c r="K192" t="str"/>
    </x:row>
    <x:row r="193">
      <x:c r="A193" t="str">
        <x:v>BON-20260720-003</x:v>
      </x:c>
      <x:c r="B193" t="n">
        <x:v>9</x:v>
      </x:c>
      <x:c r="C193" t="str">
        <x:v>Agar Agar</x:v>
      </x:c>
      <x:c r="D193" t="n">
        <x:v>1</x:v>
      </x:c>
      <x:c r="E193" t="str">
        <x:v>Packung</x:v>
      </x:c>
      <x:c r="F193" s="10" t="n">
        <x:v>2.49</x:v>
      </x:c>
      <x:c r="G193" s="10" t="n">
        <x:v>0</x:v>
      </x:c>
      <x:c r="H193" s="10" t="n">
        <x:v>2.49</x:v>
      </x:c>
      <x:c r="I193" t="str">
        <x:v>Gemeinschaft</x:v>
      </x:c>
      <x:c r="J193" s="10" t="n">
        <x:v>0</x:v>
      </x:c>
      <x:c r="K193" t="str"/>
    </x:row>
    <x:row r="194">
      <x:c r="A194" t="str">
        <x:v>BON-20260720-003</x:v>
      </x:c>
      <x:c r="B194" t="n">
        <x:v>10</x:v>
      </x:c>
      <x:c r="C194" t="str">
        <x:v>Glückskäfer</x:v>
      </x:c>
      <x:c r="D194" t="n">
        <x:v>1</x:v>
      </x:c>
      <x:c r="E194" t="str">
        <x:v>Packung</x:v>
      </x:c>
      <x:c r="F194" s="10" t="n">
        <x:v>1.15</x:v>
      </x:c>
      <x:c r="G194" s="10" t="n">
        <x:v>0</x:v>
      </x:c>
      <x:c r="H194" s="10" t="n">
        <x:v>1.15</x:v>
      </x:c>
      <x:c r="I194" t="str">
        <x:v>Gemeinschaft</x:v>
      </x:c>
      <x:c r="J194" s="10" t="n">
        <x:v>0</x:v>
      </x:c>
      <x:c r="K194" t="str"/>
    </x:row>
    <x:row r="195">
      <x:c r="A195" t="str">
        <x:v>BON-20260720-003</x:v>
      </x:c>
      <x:c r="B195" t="n">
        <x:v>11</x:v>
      </x:c>
      <x:c r="C195" t="str">
        <x:v>Fred Ferkel</x:v>
      </x:c>
      <x:c r="D195" t="n">
        <x:v>1</x:v>
      </x:c>
      <x:c r="E195" t="str">
        <x:v>Packung</x:v>
      </x:c>
      <x:c r="F195" s="10" t="n">
        <x:v>0.77</x:v>
      </x:c>
      <x:c r="G195" s="10" t="n">
        <x:v>0</x:v>
      </x:c>
      <x:c r="H195" s="10" t="n">
        <x:v>0.77</x:v>
      </x:c>
      <x:c r="I195" t="str">
        <x:v>Gemeinschaft</x:v>
      </x:c>
      <x:c r="J195" s="10" t="n">
        <x:v>0</x:v>
      </x:c>
      <x:c r="K195" t="str"/>
    </x:row>
    <x:row r="196">
      <x:c r="A196" t="str">
        <x:v>BON-20260720-003</x:v>
      </x:c>
      <x:c r="B196" t="n">
        <x:v>12</x:v>
      </x:c>
      <x:c r="C196" t="str">
        <x:v>Hafercookie</x:v>
      </x:c>
      <x:c r="D196" t="n">
        <x:v>2</x:v>
      </x:c>
      <x:c r="E196" t="str">
        <x:v>Stk.</x:v>
      </x:c>
      <x:c r="F196" s="10" t="n">
        <x:v>2.98</x:v>
      </x:c>
      <x:c r="G196" s="10" t="n">
        <x:v>0</x:v>
      </x:c>
      <x:c r="H196" s="10" t="n">
        <x:v>2.98</x:v>
      </x:c>
      <x:c r="I196" t="str">
        <x:v>Gemeinschaft</x:v>
      </x:c>
      <x:c r="J196" s="10" t="n">
        <x:v>0</x:v>
      </x:c>
      <x:c r="K196" t="str"/>
    </x:row>
    <x:row r="197">
      <x:c r="A197" t="str">
        <x:v>BON-20260720-003</x:v>
      </x:c>
      <x:c r="B197" t="n">
        <x:v>13</x:v>
      </x:c>
      <x:c r="C197" t="str">
        <x:v>Große Papiertasche</x:v>
      </x:c>
      <x:c r="D197" t="n">
        <x:v>1</x:v>
      </x:c>
      <x:c r="E197" t="str">
        <x:v>Stk.</x:v>
      </x:c>
      <x:c r="F197" s="10" t="n">
        <x:v>0.25</x:v>
      </x:c>
      <x:c r="G197" s="10" t="n">
        <x:v>0</x:v>
      </x:c>
      <x:c r="H197" s="10" t="n">
        <x:v>0.25</x:v>
      </x:c>
      <x:c r="I197" t="str">
        <x:v>Gemeinschaft</x:v>
      </x:c>
      <x:c r="J197" s="10" t="n">
        <x:v>0</x:v>
      </x:c>
      <x:c r="K197" t="str"/>
    </x:row>
    <x:row r="198">
      <x:c r="A198" t="str">
        <x:v>BON-20260720-003</x:v>
      </x:c>
      <x:c r="B198" t="n">
        <x:v>14</x:v>
      </x:c>
      <x:c r="C198" t="str">
        <x:v>Holzkohle 2,5 kg</x:v>
      </x:c>
      <x:c r="D198" t="n">
        <x:v>1</x:v>
      </x:c>
      <x:c r="E198" t="str">
        <x:v>Sack</x:v>
      </x:c>
      <x:c r="F198" s="10" t="n">
        <x:v>5.99</x:v>
      </x:c>
      <x:c r="G198" s="10" t="n">
        <x:v>0</x:v>
      </x:c>
      <x:c r="H198" s="10" t="n">
        <x:v>5.99</x:v>
      </x:c>
      <x:c r="I198" t="str">
        <x:v>Gemeinschaft</x:v>
      </x:c>
      <x:c r="J198" s="10" t="n">
        <x:v>0</x:v>
      </x:c>
      <x:c r="K198" t="str"/>
    </x:row>
    <x:row r="199">
      <x:c r="A199" t="str">
        <x:v>BON-20260720-003</x:v>
      </x:c>
      <x:c r="B199" t="n">
        <x:v>15</x:v>
      </x:c>
      <x:c r="C199" t="str">
        <x:v>Kerze</x:v>
      </x:c>
      <x:c r="D199" t="n">
        <x:v>1</x:v>
      </x:c>
      <x:c r="E199" t="str">
        <x:v>Stk.</x:v>
      </x:c>
      <x:c r="F199" s="10" t="n">
        <x:v>1.49</x:v>
      </x:c>
      <x:c r="G199" s="10" t="n">
        <x:v>0</x:v>
      </x:c>
      <x:c r="H199" s="10" t="n">
        <x:v>1.49</x:v>
      </x:c>
      <x:c r="I199" t="str">
        <x:v>Gemeinschaft</x:v>
      </x:c>
      <x:c r="J199" s="10" t="n">
        <x:v>0</x:v>
      </x:c>
      <x:c r="K199" t="str"/>
    </x:row>
    <x:row r="200">
      <x:c r="A200" t="str">
        <x:v>BON-20260720-003</x:v>
      </x:c>
      <x:c r="B200" t="n">
        <x:v>16</x:v>
      </x:c>
      <x:c r="C200" t="str">
        <x:v>Luftschlangen 3er</x:v>
      </x:c>
      <x:c r="D200" t="n">
        <x:v>1</x:v>
      </x:c>
      <x:c r="E200" t="str">
        <x:v>Packung</x:v>
      </x:c>
      <x:c r="F200" s="10" t="n">
        <x:v>1.49</x:v>
      </x:c>
      <x:c r="G200" s="10" t="n">
        <x:v>0</x:v>
      </x:c>
      <x:c r="H200" s="10" t="n">
        <x:v>1.49</x:v>
      </x:c>
      <x:c r="I200" t="str">
        <x:v>Gemeinschaft</x:v>
      </x:c>
      <x:c r="J200" s="10" t="n">
        <x:v>0</x:v>
      </x:c>
      <x:c r="K200" t="str"/>
    </x:row>
    <x:row r="201">
      <x:c r="A201" t="str">
        <x:v>BON-20260720-003</x:v>
      </x:c>
      <x:c r="B201" t="n">
        <x:v>17</x:v>
      </x:c>
      <x:c r="C201" t="str">
        <x:v>Happy Birthday Girlande</x:v>
      </x:c>
      <x:c r="D201" t="n">
        <x:v>1</x:v>
      </x:c>
      <x:c r="E201" t="str">
        <x:v>Stk.</x:v>
      </x:c>
      <x:c r="F201" s="10" t="n">
        <x:v>2.49</x:v>
      </x:c>
      <x:c r="G201" s="10" t="n">
        <x:v>0</x:v>
      </x:c>
      <x:c r="H201" s="10" t="n">
        <x:v>2.49</x:v>
      </x:c>
      <x:c r="I201" t="str">
        <x:v>Gemeinschaft</x:v>
      </x:c>
      <x:c r="J201" s="10" t="n">
        <x:v>0</x:v>
      </x:c>
      <x:c r="K201" t="str"/>
    </x:row>
    <x:row r="202">
      <x:c r="A202" t="str">
        <x:v>BON-20260720-003</x:v>
      </x:c>
      <x:c r="B202" t="n">
        <x:v>18</x:v>
      </x:c>
      <x:c r="C202" t="str">
        <x:v>Ballons Standard</x:v>
      </x:c>
      <x:c r="D202" t="n">
        <x:v>1</x:v>
      </x:c>
      <x:c r="E202" t="str">
        <x:v>Packung</x:v>
      </x:c>
      <x:c r="F202" s="10" t="n">
        <x:v>2.79</x:v>
      </x:c>
      <x:c r="G202" s="10" t="n">
        <x:v>0</x:v>
      </x:c>
      <x:c r="H202" s="10" t="n">
        <x:v>2.79</x:v>
      </x:c>
      <x:c r="I202" t="str">
        <x:v>Gemeinschaft</x:v>
      </x:c>
      <x:c r="J202" s="10" t="n">
        <x:v>0</x:v>
      </x:c>
      <x:c r="K202" t="str"/>
    </x:row>
    <x:row r="203">
      <x:c r="A203" t="str">
        <x:v>BON-20260720-003</x:v>
      </x:c>
      <x:c r="B203" t="n">
        <x:v>19</x:v>
      </x:c>
      <x:c r="C203" t="str">
        <x:v>Leergut MW</x:v>
      </x:c>
      <x:c r="D203" t="n">
        <x:v>1</x:v>
      </x:c>
      <x:c r="E203" t="str">
        <x:v>Gutschrift</x:v>
      </x:c>
      <x:c r="F203" s="10" t="n">
        <x:v>-0.15</x:v>
      </x:c>
      <x:c r="G203" s="10" t="n">
        <x:v>0</x:v>
      </x:c>
      <x:c r="H203" s="10" t="n">
        <x:v>-0.15</x:v>
      </x:c>
      <x:c r="I203" t="str">
        <x:v>Gemeinschaft</x:v>
      </x:c>
      <x:c r="J203" s="10" t="n">
        <x:v>0</x:v>
      </x:c>
      <x:c r="K203" t="str"/>
    </x:row>
    <x:row r="204">
      <x:c r="A204" t="str">
        <x:v>AUS-20260720-001</x:v>
      </x:c>
      <x:c r="B204" t="n">
        <x:v>1</x:v>
      </x:c>
      <x:c r="C204" t="str">
        <x:v>Einkauf Gut Kerkow Bauernmarkt</x:v>
      </x:c>
      <x:c r="D204" t="n">
        <x:v>1</x:v>
      </x:c>
      <x:c r="E204" t="str">
        <x:v>Sammelposition</x:v>
      </x:c>
      <x:c r="F204" s="10" t="n">
        <x:v>48.23</x:v>
      </x:c>
      <x:c r="G204" s="10" t="n">
        <x:v>0</x:v>
      </x:c>
      <x:c r="H204" s="10" t="n">
        <x:v>48.23</x:v>
      </x:c>
      <x:c r="I204" t="str">
        <x:v>Gemeinschaft</x:v>
      </x:c>
      <x:c r="J204" s="10" t="n">
        <x:v>0</x:v>
      </x:c>
      <x:c r="K204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3" hidden="0" customWidth="1"/>
    <x:col min="3" max="3" width="16" hidden="0" customWidth="1"/>
    <x:col min="4" max="4" width="34" hidden="0" customWidth="1"/>
  </x:cols>
  <x:sheetData>
    <x:row r="1">
      <x:c r="A1" s="7" t="str">
        <x:v>Vorgang</x:v>
      </x:c>
      <x:c r="B1" s="7" t="str">
        <x:v>Zahlungsguthaben für</x:v>
      </x:c>
      <x:c r="C1" s="7" t="str">
        <x:v>Betrag</x:v>
      </x:c>
      <x:c r="D1" s="7" t="str">
        <x:v>Zahlungsquelle</x:v>
      </x:c>
    </x:row>
    <x:row r="2">
      <x:c r="A2" t="str">
        <x:v>BON-20260716-001</x:v>
      </x:c>
      <x:c r="B2" t="str">
        <x:v>Simon</x:v>
      </x:c>
      <x:c r="C2" s="10" t="n">
        <x:v>17.42</x:v>
      </x:c>
      <x:c r="D2" t="str">
        <x:v>Gemeinschaftskonto Katrin &amp; Simon</x:v>
      </x:c>
    </x:row>
    <x:row r="3">
      <x:c r="A3" t="str">
        <x:v>BON-20260716-001</x:v>
      </x:c>
      <x:c r="B3" t="str">
        <x:v>Katrin</x:v>
      </x:c>
      <x:c r="C3" s="10" t="n">
        <x:v>17.41</x:v>
      </x:c>
      <x:c r="D3" t="str">
        <x:v>Gemeinschaftskonto Katrin &amp; Simon</x:v>
      </x:c>
    </x:row>
    <x:row r="4">
      <x:c r="A4" t="str">
        <x:v>BON-20260716-002</x:v>
      </x:c>
      <x:c r="B4" t="str">
        <x:v>Simon</x:v>
      </x:c>
      <x:c r="C4" s="10" t="n">
        <x:v>6.41</x:v>
      </x:c>
      <x:c r="D4" t="str">
        <x:v>Gemeinschaftskonto Katrin &amp; Simon</x:v>
      </x:c>
    </x:row>
    <x:row r="5">
      <x:c r="A5" t="str">
        <x:v>BON-20260716-002</x:v>
      </x:c>
      <x:c r="B5" t="str">
        <x:v>Katrin</x:v>
      </x:c>
      <x:c r="C5" s="10" t="n">
        <x:v>6.41</x:v>
      </x:c>
      <x:c r="D5" t="str">
        <x:v>Gemeinschaftskonto Katrin &amp; Simon</x:v>
      </x:c>
    </x:row>
    <x:row r="6">
      <x:c r="A6" t="str">
        <x:v>GUT-20260716-001</x:v>
      </x:c>
      <x:c r="B6" t="str">
        <x:v>Simon</x:v>
      </x:c>
      <x:c r="C6" s="10" t="n">
        <x:v>-1.81</x:v>
      </x:c>
      <x:c r="D6" t="str">
        <x:v>Gemeinschaftskonto Katrin &amp; Simon</x:v>
      </x:c>
    </x:row>
    <x:row r="7">
      <x:c r="A7" t="str">
        <x:v>GUT-20260716-001</x:v>
      </x:c>
      <x:c r="B7" t="str">
        <x:v>Katrin</x:v>
      </x:c>
      <x:c r="C7" s="10" t="n">
        <x:v>-1.8</x:v>
      </x:c>
      <x:c r="D7" t="str">
        <x:v>Gemeinschaftskonto Katrin &amp; Simon</x:v>
      </x:c>
    </x:row>
    <x:row r="8">
      <x:c r="A8" t="str">
        <x:v>BON-20260717-001</x:v>
      </x:c>
      <x:c r="B8" t="str">
        <x:v>Simon</x:v>
      </x:c>
      <x:c r="C8" s="10" t="n">
        <x:v>25</x:v>
      </x:c>
      <x:c r="D8" t="str">
        <x:v>Simon</x:v>
      </x:c>
    </x:row>
    <x:row r="9">
      <x:c r="A9" t="str">
        <x:v>BON-20260717-002</x:v>
      </x:c>
      <x:c r="B9" t="str">
        <x:v>Simon</x:v>
      </x:c>
      <x:c r="C9" s="10" t="n">
        <x:v>34.72</x:v>
      </x:c>
      <x:c r="D9" t="str">
        <x:v>Gemeinschaftskonto Katrin &amp; Simon</x:v>
      </x:c>
    </x:row>
    <x:row r="10">
      <x:c r="A10" t="str">
        <x:v>BON-20260717-002</x:v>
      </x:c>
      <x:c r="B10" t="str">
        <x:v>Katrin</x:v>
      </x:c>
      <x:c r="C10" s="10" t="n">
        <x:v>34.72</x:v>
      </x:c>
      <x:c r="D10" t="str">
        <x:v>Gemeinschaftskonto Katrin &amp; Simon</x:v>
      </x:c>
    </x:row>
    <x:row r="11">
      <x:c r="A11" t="str">
        <x:v>BON-20260718-001</x:v>
      </x:c>
      <x:c r="B11" t="str">
        <x:v>Simon</x:v>
      </x:c>
      <x:c r="C11" s="10" t="n">
        <x:v>35.72</x:v>
      </x:c>
      <x:c r="D11" t="str">
        <x:v>Gemeinschaftskonto Katrin &amp; Simon</x:v>
      </x:c>
    </x:row>
    <x:row r="12">
      <x:c r="A12" t="str">
        <x:v>BON-20260718-001</x:v>
      </x:c>
      <x:c r="B12" t="str">
        <x:v>Katrin</x:v>
      </x:c>
      <x:c r="C12" s="10" t="n">
        <x:v>35.71</x:v>
      </x:c>
      <x:c r="D12" t="str">
        <x:v>Gemeinschaftskonto Katrin &amp; Simon</x:v>
      </x:c>
    </x:row>
    <x:row r="13">
      <x:c r="A13" t="str">
        <x:v>AUS-20260718-001</x:v>
      </x:c>
      <x:c r="B13" t="str">
        <x:v>Simon</x:v>
      </x:c>
      <x:c r="C13" s="10" t="n">
        <x:v>10</x:v>
      </x:c>
      <x:c r="D13" t="str">
        <x:v>Simon</x:v>
      </x:c>
    </x:row>
    <x:row r="14">
      <x:c r="A14" t="str">
        <x:v>BON-20260720-001</x:v>
      </x:c>
      <x:c r="B14" t="str">
        <x:v>Simon</x:v>
      </x:c>
      <x:c r="C14" s="10" t="n">
        <x:v>116.22</x:v>
      </x:c>
      <x:c r="D14" t="str">
        <x:v>Simon</x:v>
      </x:c>
    </x:row>
    <x:row r="15">
      <x:c r="A15" t="str">
        <x:v>BON-20260720-002</x:v>
      </x:c>
      <x:c r="B15" t="str">
        <x:v>Simon</x:v>
      </x:c>
      <x:c r="C15" s="10" t="n">
        <x:v>128.8</x:v>
      </x:c>
      <x:c r="D15" t="str">
        <x:v>Simon</x:v>
      </x:c>
    </x:row>
    <x:row r="16">
      <x:c r="A16" t="str">
        <x:v>BON-20260720-003</x:v>
      </x:c>
      <x:c r="B16" t="str">
        <x:v>Simon</x:v>
      </x:c>
      <x:c r="C16" s="10" t="n">
        <x:v>48.16</x:v>
      </x:c>
      <x:c r="D16" t="str">
        <x:v>Simon</x:v>
      </x:c>
    </x:row>
    <x:row r="17">
      <x:c r="A17" t="str">
        <x:v>AUS-20260720-001</x:v>
      </x:c>
      <x:c r="B17" t="str">
        <x:v>Simon</x:v>
      </x:c>
      <x:c r="C17" s="10" t="n">
        <x:v>24.12</x:v>
      </x:c>
      <x:c r="D17" t="str">
        <x:v>Gemeinschaftskonto Katrin &amp; Simon</x:v>
      </x:c>
    </x:row>
    <x:row r="18">
      <x:c r="A18" t="str">
        <x:v>AUS-20260720-001</x:v>
      </x:c>
      <x:c r="B18" t="str">
        <x:v>Katrin</x:v>
      </x:c>
      <x:c r="C18" s="10" t="n">
        <x:v>24.11</x:v>
      </x:c>
      <x:c r="D18" t="str">
        <x:v>Gemeinschaftskonto Katrin &amp; Simon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9" hidden="0" customWidth="1"/>
    <x:col min="3" max="3" width="22" hidden="0" customWidth="1"/>
    <x:col min="4" max="4" width="18" hidden="0" customWidth="1"/>
    <x:col min="5" max="5" width="18" hidden="0" customWidth="1"/>
  </x:cols>
  <x:sheetData>
    <x:row r="1">
      <x:c r="A1" s="7" t="str">
        <x:v>Person</x:v>
      </x:c>
      <x:c r="B1" s="7" t="str">
        <x:v>Belastung</x:v>
      </x:c>
      <x:c r="C1" s="7" t="str">
        <x:v>Zahlungsguthaben</x:v>
      </x:c>
      <x:c r="D1" s="7" t="str">
        <x:v>Saldo</x:v>
      </x:c>
      <x:c r="E1" s="7" t="str">
        <x:v>Ergebnis</x:v>
      </x:c>
    </x:row>
    <x:row r="2">
      <x:c r="A2" t="str">
        <x:v>Simon</x:v>
      </x:c>
      <x:c r="B2" s="10" t="n">
        <x:f>SUM('Kostenblöcke'!E$2:E$100)</x:f>
        <x:v>130.7</x:v>
      </x:c>
      <x:c r="C2" s="10" t="n">
        <x:f>SUMIF(Zahlungen!$B$2:$B$100,A2,Zahlungen!$C$2:$C$100)</x:f>
        <x:v>444.76</x:v>
      </x:c>
      <x:c r="D2" s="10" t="n">
        <x:f>C2-B2</x:f>
        <x:v>314.06</x:v>
      </x:c>
      <x:c r="E2" t="str">
        <x:v>bekommt Geld</x:v>
      </x:c>
    </x:row>
    <x:row r="3">
      <x:c r="A3" t="str">
        <x:v>Katrin</x:v>
      </x:c>
      <x:c r="B3" s="10" t="n">
        <x:f>SUM('Kostenblöcke'!F$2:F$100)</x:f>
        <x:v>164.29</x:v>
      </x:c>
      <x:c r="C3" s="10" t="n">
        <x:f>SUMIF(Zahlungen!$B$2:$B$100,A3,Zahlungen!$C$2:$C$100)</x:f>
        <x:v>116.55999999999999</x:v>
      </x:c>
      <x:c r="D3" s="10" t="n">
        <x:f>C3-B3</x:f>
        <x:v>-47.730000000000004</x:v>
      </x:c>
      <x:c r="E3" t="str">
        <x:v>zahlt</x:v>
      </x:c>
    </x:row>
    <x:row r="4">
      <x:c r="A4" t="str">
        <x:v>Onkel</x:v>
      </x:c>
      <x:c r="B4" s="10" t="n">
        <x:f>SUM('Kostenblöcke'!G$2:G$100)</x:f>
        <x:v>133.18</x:v>
      </x:c>
      <x:c r="C4" s="10" t="n">
        <x:f>SUMIF(Zahlungen!$B$2:$B$100,A4,Zahlungen!$C$2:$C$100)</x:f>
        <x:v>0</x:v>
      </x:c>
      <x:c r="D4" s="10" t="n">
        <x:f>C4-B4</x:f>
        <x:v>-133.18</x:v>
      </x:c>
      <x:c r="E4" t="str">
        <x:v>zahlt</x:v>
      </x:c>
    </x:row>
    <x:row r="5">
      <x:c r="A5" t="str">
        <x:v>Tante</x:v>
      </x:c>
      <x:c r="B5" s="10" t="n">
        <x:f>SUM('Kostenblöcke'!H$2:H$100)</x:f>
        <x:v>133.15</x:v>
      </x:c>
      <x:c r="C5" s="10" t="n">
        <x:f>SUMIF(Zahlungen!$B$2:$B$100,A5,Zahlungen!$C$2:$C$100)</x:f>
        <x:v>0</x:v>
      </x:c>
      <x:c r="D5" s="10" t="n">
        <x:f>C5-B5</x:f>
        <x:v>-133.15</x:v>
      </x:c>
      <x:c r="E5" t="str">
        <x:v>zahlt</x:v>
      </x:c>
    </x:row>
    <x:row r="6">
      <x:c r="A6" t="str">
        <x:v>Oma</x:v>
      </x:c>
      <x:c r="B6" s="10" t="n">
        <x:f>SUM('Kostenblöcke'!I$2:I$100)</x:f>
        <x:v>0</x:v>
      </x:c>
      <x:c r="C6" s="10" t="n">
        <x:f>SUMIF(Zahlungen!$B$2:$B$100,A6,Zahlungen!$C$2:$C$100)</x:f>
        <x:v>0</x:v>
      </x:c>
      <x:c r="D6" s="10" t="n">
        <x:f>C6-B6</x:f>
        <x:v>0</x:v>
      </x:c>
      <x:c r="E6" t="str">
        <x:v>ausgeglichen</x:v>
      </x:c>
    </x:row>
    <x:row r="7">
      <x:c r="A7" t="str">
        <x:v>Großvater</x:v>
      </x:c>
      <x:c r="B7" s="10" t="n">
        <x:f>SUM('Kostenblöcke'!J$2:J$100)</x:f>
        <x:v>0</x:v>
      </x:c>
      <x:c r="C7" s="10" t="n">
        <x:f>SUMIF(Zahlungen!$B$2:$B$100,A7,Zahlungen!$C$2:$C$100)</x:f>
        <x:v>0</x:v>
      </x:c>
      <x:c r="D7" s="10" t="n">
        <x:f>C7-B7</x:f>
        <x:v>0</x:v>
      </x:c>
      <x:c r="E7" t="str">
        <x:v>ausgeglichen</x:v>
      </x:c>
    </x:row>
    <x:row r="10">
      <x:c r="A10" s="7" t="str">
        <x:v>Zahler</x:v>
      </x:c>
      <x:c r="B10" s="7" t="str">
        <x:v>Empfänger</x:v>
      </x:c>
      <x:c r="C10" s="7" t="str">
        <x:v>Betrag</x:v>
      </x:c>
    </x:row>
    <x:row r="11">
      <x:c r="A11" t="str">
        <x:v>Katrin</x:v>
      </x:c>
      <x:c r="B11" t="str">
        <x:v>Simon</x:v>
      </x:c>
      <x:c r="C11" s="10" t="n">
        <x:v>47.73</x:v>
      </x:c>
    </x:row>
    <x:row r="12">
      <x:c r="A12" t="str">
        <x:v>Onkel</x:v>
      </x:c>
      <x:c r="B12" t="str">
        <x:v>Simon</x:v>
      </x:c>
      <x:c r="C12" s="10" t="n">
        <x:v>133.18</x:v>
      </x:c>
    </x:row>
    <x:row r="13">
      <x:c r="A13" t="str">
        <x:v>Tante</x:v>
      </x:c>
      <x:c r="B13" t="str">
        <x:v>Simon</x:v>
      </x:c>
      <x:c r="C13" s="10" t="n">
        <x:v>133.15</x:v>
      </x:c>
    </x:row>
  </x:sheetData>
  <x:conditionalFormatting sqref="D2:D7">
    <x:cfRule type="expression" dxfId="0" priority="1">
      <x:formula>D2&gt;0</x:formula>
    </x:cfRule>
    <x:cfRule type="expression" dxfId="1" priority="2">
      <x:formula>D2&lt;0</x:formula>
    </x:cfRule>
  </x:conditionalFormatting>
  <x:pageMargins left="0.7" right="0.7" top="0.75" bottom="0.75" header="0.3" footer="0.3"/>
</x:worksheet>
</file>