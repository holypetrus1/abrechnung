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1dec432258d64e0f"/>
    <x:sheet xmlns:r="http://schemas.openxmlformats.org/officeDocument/2006/relationships" name="Vorgänge" sheetId="2" r:id="R7f6d3dc429c7480b"/>
    <x:sheet xmlns:r="http://schemas.openxmlformats.org/officeDocument/2006/relationships" name="Kostenblöcke" sheetId="3" r:id="R44574feb646a4ecb"/>
    <x:sheet xmlns:r="http://schemas.openxmlformats.org/officeDocument/2006/relationships" name="Positionen" sheetId="4" r:id="Rbf4b95d94e5a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.mm.yyyy hh:mm"/>
    <x:numFmt numFmtId="201" formatCode="#,##0.00 [$€-407]"/>
    <x:numFmt numFmtId="202" formatCode="@"/>
  </x:numFmts>
  <x:fonts count="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1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F3F0E9"/>
      </x:patternFill>
    </x:fill>
    <x:fill>
      <x:patternFill patternType="solid">
        <x:fgColor rgb="FFDCEBE5"/>
      </x:patternFill>
    </x:fill>
    <x:fill>
      <x:patternFill patternType="solid">
        <x:fgColor rgb="FFFAF8F3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fbcd96a4b480a" /><Relationship Type="http://schemas.openxmlformats.org/officeDocument/2006/relationships/theme" Target="/xl/theme/theme1.xml" Id="R2fce76284cd64f07" /><Relationship Type="http://schemas.openxmlformats.org/officeDocument/2006/relationships/sharedStrings" Target="/xl/sharedStrings.xml" Id="R23322c6f359641e9" /><Relationship Type="http://schemas.openxmlformats.org/officeDocument/2006/relationships/worksheet" Target="/xl/worksheets/sheet1.xml" Id="R1dec432258d64e0f" /><Relationship Type="http://schemas.openxmlformats.org/officeDocument/2006/relationships/worksheet" Target="/xl/worksheets/sheet2.xml" Id="R7f6d3dc429c7480b" /><Relationship Type="http://schemas.openxmlformats.org/officeDocument/2006/relationships/worksheet" Target="/xl/worksheets/sheet3.xml" Id="R44574feb646a4ecb" /><Relationship Type="http://schemas.openxmlformats.org/officeDocument/2006/relationships/worksheet" Target="/xl/worksheets/sheet4.xml" Id="Rbf4b95d94e5a4462" /></Relationships>
</file>

<file path=xl/tables/table1.xml><?xml version="1.0" encoding="utf-8"?>
<x:table xmlns:x="http://schemas.openxmlformats.org/spreadsheetml/2006/main" id="1" name="VorgaengeWoche2" displayName="VorgaengeWoche2" ref="A1:J2" headerRowCount="1">
  <x:tableColumns count="10">
    <x:tableColumn id="1" name="ID"/>
    <x:tableColumn id="2" name="Kaufdatum"/>
    <x:tableColumn id="3" name="Händler"/>
    <x:tableColumn id="4" name="Ort"/>
    <x:tableColumn id="5" name="Belegsumme"/>
    <x:tableColumn id="6" name="Verrechnet"/>
    <x:tableColumn id="7" name="Ausgeschlossen"/>
    <x:tableColumn id="8" name="Bezahlt von"/>
    <x:tableColumn id="9" name="Status"/>
    <x:tableColumn id="10" name="Hinweise"/>
  </x:tableColumns>
  <x:tableStyleInfo name="TableStyleMedium2" showRowStripes="1"/>
</x:table>
</file>

<file path=xl/tables/table2.xml><?xml version="1.0" encoding="utf-8"?>
<x:table xmlns:x="http://schemas.openxmlformats.org/spreadsheetml/2006/main" id="2" name="KostenbloeckeWoche2" displayName="KostenbloeckeWoche2" ref="A1:F3" headerRowCount="1">
  <x:tableColumns count="6">
    <x:tableColumn id="1" name="Kostenblock"/>
    <x:tableColumn id="2" name="Betrag"/>
    <x:tableColumn id="3" name="Simon"/>
    <x:tableColumn id="4" name="Katrin"/>
    <x:tableColumn id="5" name="Hummel W"/>
    <x:tableColumn id="6" name="Hummel M"/>
  </x:tableColumns>
  <x:tableStyleInfo name="TableStyleMedium2" showRowStripes="1"/>
</x:table>
</file>

<file path=xl/tables/table3.xml><?xml version="1.0" encoding="utf-8"?>
<x:table xmlns:x="http://schemas.openxmlformats.org/spreadsheetml/2006/main" id="3" name="PositionenWoche2" displayName="PositionenWoche2" ref="A1:G59" headerRowCount="1">
  <x:tableColumns count="7">
    <x:tableColumn id="1" name="Pos."/>
    <x:tableColumn id="2" name="Artikel"/>
    <x:tableColumn id="3" name="Menge"/>
    <x:tableColumn id="4" name="Einheit"/>
    <x:tableColumn id="5" name="Einzelpreis"/>
    <x:tableColumn id="6" name="Betrag"/>
    <x:tableColumn id="7" name="Kostenblock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89dd27dada46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92c4968b0e141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ae2b78713942d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</x:cols>
  <x:sheetData>
    <x:row r="1" ht="34" customHeight="1">
      <x:c r="A1" s="5" t="str">
        <x:v>Urlaubskasse Woche 2</x:v>
      </x:c>
      <x:c r="B1" s="5"/>
      <x:c r="C1" s="5"/>
      <x:c r="D1" s="5"/>
      <x:c r="E1" s="5"/>
      <x:c r="F1" s="5"/>
    </x:row>
    <x:row r="2">
      <x:c r="A2" s="32"/>
      <x:c r="B2" s="32"/>
      <x:c r="C2" s="32"/>
      <x:c r="D2" s="32"/>
      <x:c r="E2" s="32"/>
      <x:c r="F2" s="32"/>
    </x:row>
    <x:row r="3">
      <x:c r="A3" s="11" t="str">
        <x:v>Stand</x:v>
      </x:c>
      <x:c r="B3" s="37" t="str">
        <x:v>27.07.2026, 12:58 Uhr</x:v>
      </x:c>
      <x:c r="C3" s="32"/>
      <x:c r="D3" s="32"/>
      <x:c r="E3" s="32"/>
      <x:c r="F3" s="32"/>
    </x:row>
    <x:row r="4">
      <x:c r="A4" s="11" t="str">
        <x:v>Erfasste Vorgänge</x:v>
      </x:c>
      <x:c r="B4" s="32" t="n">
        <x:v>1</x:v>
      </x:c>
      <x:c r="C4" s="32"/>
      <x:c r="D4" s="32"/>
      <x:c r="E4" s="32"/>
      <x:c r="F4" s="32"/>
    </x:row>
    <x:row r="5">
      <x:c r="A5" s="11" t="str">
        <x:v>Beleg-/Ausgabensumme</x:v>
      </x:c>
      <x:c r="B5" s="16" t="n">
        <x:v>87.79</x:v>
      </x:c>
      <x:c r="C5" s="32"/>
      <x:c r="D5" s="32"/>
      <x:c r="E5" s="32"/>
      <x:c r="F5" s="32"/>
    </x:row>
    <x:row r="6">
      <x:c r="A6" s="11" t="str">
        <x:v>Ausgeschlossen</x:v>
      </x:c>
      <x:c r="B6" s="16" t="n">
        <x:v>0</x:v>
      </x:c>
      <x:c r="C6" s="32"/>
      <x:c r="D6" s="32"/>
      <x:c r="E6" s="32"/>
      <x:c r="F6" s="32"/>
    </x:row>
    <x:row r="7">
      <x:c r="A7" s="32"/>
      <x:c r="B7" s="32"/>
      <x:c r="C7" s="32"/>
      <x:c r="D7" s="32"/>
      <x:c r="E7" s="32"/>
      <x:c r="F7" s="32"/>
    </x:row>
    <x:row r="8">
      <x:c r="A8" s="22" t="str">
        <x:v>Person</x:v>
      </x:c>
      <x:c r="B8" s="22" t="str">
        <x:v>Anteil</x:v>
      </x:c>
      <x:c r="C8" s="22" t="str">
        <x:v>Bezahlt</x:v>
      </x:c>
      <x:c r="D8" s="22" t="str">
        <x:v>Saldo</x:v>
      </x:c>
      <x:c r="E8" s="32"/>
      <x:c r="F8" s="32"/>
    </x:row>
    <x:row r="9">
      <x:c r="A9" s="32" t="str">
        <x:v>Simon</x:v>
      </x:c>
      <x:c r="B9" s="16" t="n">
        <x:v>18.93</x:v>
      </x:c>
      <x:c r="C9" s="16" t="n">
        <x:v>87.79</x:v>
      </x:c>
      <x:c r="D9" s="16" t="n">
        <x:f>C9-B9</x:f>
        <x:v>68.86000000000001</x:v>
      </x:c>
      <x:c r="E9" s="32"/>
      <x:c r="F9" s="32"/>
    </x:row>
    <x:row r="10">
      <x:c r="A10" s="32" t="str">
        <x:v>Katrin</x:v>
      </x:c>
      <x:c r="B10" s="16" t="n">
        <x:v>18.93</x:v>
      </x:c>
      <x:c r="C10" s="16" t="n">
        <x:v>0</x:v>
      </x:c>
      <x:c r="D10" s="16" t="n">
        <x:f>C10-B10</x:f>
        <x:v>-18.93</x:v>
      </x:c>
      <x:c r="E10" s="32"/>
      <x:c r="F10" s="32"/>
    </x:row>
    <x:row r="11">
      <x:c r="A11" s="32" t="str">
        <x:v>Hummel W</x:v>
      </x:c>
      <x:c r="B11" s="16" t="n">
        <x:v>18.93</x:v>
      </x:c>
      <x:c r="C11" s="16" t="n">
        <x:v>0</x:v>
      </x:c>
      <x:c r="D11" s="16" t="n">
        <x:f>C11-B11</x:f>
        <x:v>-18.93</x:v>
      </x:c>
      <x:c r="E11" s="32"/>
      <x:c r="F11" s="32"/>
    </x:row>
    <x:row r="12">
      <x:c r="A12" s="32" t="str">
        <x:v>Hummel M</x:v>
      </x:c>
      <x:c r="B12" s="16" t="n">
        <x:v>31</x:v>
      </x:c>
      <x:c r="C12" s="16" t="n">
        <x:v>0</x:v>
      </x:c>
      <x:c r="D12" s="16" t="n">
        <x:f>C12-B12</x:f>
        <x:v>-31</x:v>
      </x:c>
      <x:c r="E12" s="32"/>
      <x:c r="F12" s="32"/>
    </x:row>
    <x:row r="13">
      <x:c r="A13" s="32"/>
      <x:c r="B13" s="32"/>
      <x:c r="C13" s="32"/>
      <x:c r="D13" s="32"/>
      <x:c r="E13" s="32"/>
      <x:c r="F13" s="32"/>
    </x:row>
    <x:row r="14">
      <x:c r="A14" s="22" t="str">
        <x:v>Ausgleich</x:v>
      </x:c>
      <x:c r="B14" s="22" t="str">
        <x:v>Empfänger</x:v>
      </x:c>
      <x:c r="C14" s="22" t="str">
        <x:v>Betrag</x:v>
      </x:c>
      <x:c r="D14" s="32"/>
      <x:c r="E14" s="32"/>
      <x:c r="F14" s="32"/>
    </x:row>
    <x:row r="15">
      <x:c r="A15" s="32" t="str">
        <x:v>Katrin</x:v>
      </x:c>
      <x:c r="B15" s="32" t="str">
        <x:v>Simon</x:v>
      </x:c>
      <x:c r="C15" s="16" t="n">
        <x:v>18.93</x:v>
      </x:c>
      <x:c r="D15" s="32"/>
      <x:c r="E15" s="32"/>
      <x:c r="F15" s="32"/>
    </x:row>
    <x:row r="16">
      <x:c r="A16" s="32" t="str">
        <x:v>Hummel W</x:v>
      </x:c>
      <x:c r="B16" s="32" t="str">
        <x:v>Simon</x:v>
      </x:c>
      <x:c r="C16" s="16" t="n">
        <x:v>18.93</x:v>
      </x:c>
      <x:c r="D16" s="32"/>
      <x:c r="E16" s="32"/>
      <x:c r="F16" s="32"/>
    </x:row>
    <x:row r="17">
      <x:c r="A17" s="32" t="str">
        <x:v>Hummel M</x:v>
      </x:c>
      <x:c r="B17" s="32" t="str">
        <x:v>Simon</x:v>
      </x:c>
      <x:c r="C17" s="16" t="n">
        <x:v>31</x:v>
      </x:c>
      <x:c r="D17" s="32"/>
      <x:c r="E17" s="32"/>
      <x:c r="F17" s="32"/>
    </x:row>
    <x:row r="18">
      <x:c r="A18" s="32"/>
      <x:c r="B18" s="32"/>
      <x:c r="C18" s="32"/>
      <x:c r="D18" s="32"/>
      <x:c r="E18" s="32"/>
      <x:c r="F18" s="32"/>
    </x:row>
    <x:row r="19">
      <x:c r="A19" s="30" t="str">
        <x:v>Sonderblock: Pueblo Classic sowie Mönchshof Radler, Freiberger Grapefruit, Mönchshof Radler alkoholfrei und Lübzer Zitrone alkoholfrei - jeweils mit Pfand - werden ausschließlich Hummel M zugerechnet.</x:v>
      </x:c>
      <x:c r="B19" s="30"/>
      <x:c r="C19" s="30"/>
      <x:c r="D19" s="30"/>
      <x:c r="E19" s="30"/>
      <x:c r="F19" s="30"/>
    </x:row>
    <x:row r="20">
      <x:c r="A20" s="30"/>
      <x:c r="B20" s="30"/>
      <x:c r="C20" s="30"/>
      <x:c r="D20" s="30"/>
      <x:c r="E20" s="30"/>
      <x:c r="F20" s="30"/>
    </x:row>
  </x:sheetData>
  <x:mergeCells>
    <x:mergeCell ref="A1:F1"/>
    <x:mergeCell ref="A19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.25" hidden="0" customWidth="1"/>
    <x:col min="2" max="2" width="15.880000114440918" hidden="0" customWidth="1"/>
    <x:col min="3" max="3" width="13.75" hidden="0" customWidth="1"/>
    <x:col min="4" max="4" width="30" hidden="0" customWidth="1"/>
    <x:col min="5" max="5" width="10.380000114440918" hidden="0" customWidth="1"/>
    <x:col min="6" max="6" width="9" hidden="0" customWidth="1"/>
    <x:col min="7" max="7" width="12.5" hidden="0" customWidth="1"/>
    <x:col min="8" max="8" width="9.380000114440918" hidden="0" customWidth="1"/>
    <x:col min="9" max="9" width="5.25" hidden="0" customWidth="1"/>
    <x:col min="10" max="10" width="42" hidden="0" customWidth="1"/>
  </x:cols>
  <x:sheetData>
    <x:row r="1">
      <x:c r="A1" s="22" t="str">
        <x:v>ID</x:v>
      </x:c>
      <x:c r="B1" s="22" t="str">
        <x:v>Kaufdatum</x:v>
      </x:c>
      <x:c r="C1" s="22" t="str">
        <x:v>Händler</x:v>
      </x:c>
      <x:c r="D1" s="22" t="str">
        <x:v>Ort</x:v>
      </x:c>
      <x:c r="E1" s="22" t="str">
        <x:v>Belegsumme</x:v>
      </x:c>
      <x:c r="F1" s="22" t="str">
        <x:v>Verrechnet</x:v>
      </x:c>
      <x:c r="G1" s="22" t="str">
        <x:v>Ausgeschlossen</x:v>
      </x:c>
      <x:c r="H1" s="22" t="str">
        <x:v>Bezahlt von</x:v>
      </x:c>
      <x:c r="I1" s="22" t="str">
        <x:v>Status</x:v>
      </x:c>
      <x:c r="J1" s="22" t="str">
        <x:v>Hinweise</x:v>
      </x:c>
    </x:row>
    <x:row r="2">
      <x:c r="A2" s="28" t="str">
        <x:v>BON-20260727-001</x:v>
      </x:c>
      <x:c r="B2" s="33" t="n">
        <x:v>46230.45849537037</x:v>
      </x:c>
      <x:c r="C2" s="28" t="str">
        <x:v>EDEKA Rockmann</x:v>
      </x:c>
      <x:c r="D2" s="28" t="str">
        <x:v>Am Stadtgut 2, 06193 Löbejün</x:v>
      </x:c>
      <x:c r="E2" s="34" t="n">
        <x:v>87.79</x:v>
      </x:c>
      <x:c r="F2" s="34" t="n">
        <x:v>87.79</x:v>
      </x:c>
      <x:c r="G2" s="34" t="n">
        <x:v>0</x:v>
      </x:c>
      <x:c r="H2" s="28" t="str">
        <x:v>Simon</x:v>
      </x:c>
      <x:c r="I2" s="28" t="str">
        <x:v>aktiv</x:v>
      </x:c>
      <x:c r="J2" s="28" t="str">
        <x:v>Pueblo + vier 0,5-l-Getränke inkl. Pfand nur Hummel M; Rest je 25 %</x:v>
      </x:c>
    </x:row>
  </x:sheetData>
  <x:pageMargins left="0.7" right="0.7" top="0.75" bottom="0.75" header="0.3" footer="0.3"/>
  <x:tableParts count="1">
    <x:tablePart xmlns:r="http://schemas.openxmlformats.org/officeDocument/2006/relationships" r:id="Ra189dd27dada467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.75" hidden="0" customWidth="1"/>
    <x:col min="2" max="2" width="38" hidden="0" customWidth="1"/>
    <x:col min="3" max="3" width="5.880000114440918" hidden="0" customWidth="1"/>
    <x:col min="4" max="4" width="7.880000114440918" hidden="0" customWidth="1"/>
    <x:col min="5" max="5" width="8.630000114440918" hidden="0" customWidth="1"/>
    <x:col min="6" max="6" width="5.75" hidden="0" customWidth="1"/>
    <x:col min="7" max="7" width="18" hidden="0" customWidth="1"/>
  </x:cols>
  <x:sheetData>
    <x:row r="1">
      <x:c r="A1" s="22" t="str">
        <x:v>Pos.</x:v>
      </x:c>
      <x:c r="B1" s="22" t="str">
        <x:v>Artikel</x:v>
      </x:c>
      <x:c r="C1" s="22" t="str">
        <x:v>Menge</x:v>
      </x:c>
      <x:c r="D1" s="22" t="str">
        <x:v>Einheit</x:v>
      </x:c>
      <x:c r="E1" s="22" t="str">
        <x:v>Einzelpreis</x:v>
      </x:c>
      <x:c r="F1" s="22" t="str">
        <x:v>Betrag</x:v>
      </x:c>
      <x:c r="G1" s="22" t="str">
        <x:v>Kostenblock</x:v>
      </x:c>
    </x:row>
    <x:row r="2">
      <x:c r="A2" s="28" t="n">
        <x:v>1</x:v>
      </x:c>
      <x:c r="B2" s="28" t="str">
        <x:v>Coca-Cola 1,25 l</x:v>
      </x:c>
      <x:c r="C2" s="28" t="n">
        <x:v>1</x:v>
      </x:c>
      <x:c r="D2" s="28" t="str">
        <x:v>Stk.</x:v>
      </x:c>
      <x:c r="E2" s="34"/>
      <x:c r="F2" s="34" t="n">
        <x:v>0.99</x:v>
      </x:c>
      <x:c r="G2" s="28" t="str">
        <x:v>Gemeinschaft</x:v>
      </x:c>
    </x:row>
    <x:row r="3">
      <x:c r="A3" s="28" t="n">
        <x:v>2</x:v>
      </x:c>
      <x:c r="B3" s="28" t="str">
        <x:v>Pfand Coca-Cola</x:v>
      </x:c>
      <x:c r="C3" s="28" t="n">
        <x:v>1</x:v>
      </x:c>
      <x:c r="D3" s="28" t="str">
        <x:v>Pfand</x:v>
      </x:c>
      <x:c r="E3" s="34"/>
      <x:c r="F3" s="34" t="n">
        <x:v>0.25</x:v>
      </x:c>
      <x:c r="G3" s="28" t="str">
        <x:v>Gemeinschaft</x:v>
      </x:c>
    </x:row>
    <x:row r="4">
      <x:c r="A4" s="28" t="n">
        <x:v>3</x:v>
      </x:c>
      <x:c r="B4" s="28" t="str">
        <x:v>Ileburger Mineralwasser 1 l</x:v>
      </x:c>
      <x:c r="C4" s="28" t="n">
        <x:v>4</x:v>
      </x:c>
      <x:c r="D4" s="28" t="str">
        <x:v>Stk.</x:v>
      </x:c>
      <x:c r="E4" s="34" t="n">
        <x:v>0.69</x:v>
      </x:c>
      <x:c r="F4" s="34" t="n">
        <x:v>2.76</x:v>
      </x:c>
      <x:c r="G4" s="28" t="str">
        <x:v>Gemeinschaft</x:v>
      </x:c>
    </x:row>
    <x:row r="5">
      <x:c r="A5" s="28" t="n">
        <x:v>4</x:v>
      </x:c>
      <x:c r="B5" s="28" t="str">
        <x:v>Pfand Mineralwasser</x:v>
      </x:c>
      <x:c r="C5" s="28" t="n">
        <x:v>4</x:v>
      </x:c>
      <x:c r="D5" s="28" t="str">
        <x:v>Pfand</x:v>
      </x:c>
      <x:c r="E5" s="34" t="n">
        <x:v>0.15</x:v>
      </x:c>
      <x:c r="F5" s="34" t="n">
        <x:v>0.6</x:v>
      </x:c>
      <x:c r="G5" s="28" t="str">
        <x:v>Gemeinschaft</x:v>
      </x:c>
    </x:row>
    <x:row r="6">
      <x:c r="A6" s="28" t="n">
        <x:v>5</x:v>
      </x:c>
      <x:c r="B6" s="28" t="str">
        <x:v>G&amp;G Toilettenpapier</x:v>
      </x:c>
      <x:c r="C6" s="28" t="n">
        <x:v>1</x:v>
      </x:c>
      <x:c r="D6" s="28" t="str">
        <x:v>Packung</x:v>
      </x:c>
      <x:c r="E6" s="34"/>
      <x:c r="F6" s="34" t="n">
        <x:v>3.25</x:v>
      </x:c>
      <x:c r="G6" s="28" t="str">
        <x:v>Gemeinschaft</x:v>
      </x:c>
    </x:row>
    <x:row r="7">
      <x:c r="A7" s="28" t="n">
        <x:v>6</x:v>
      </x:c>
      <x:c r="B7" s="28" t="str">
        <x:v>Mönchshof Radler 0,5 l</x:v>
      </x:c>
      <x:c r="C7" s="28" t="n">
        <x:v>1</x:v>
      </x:c>
      <x:c r="D7" s="28" t="str">
        <x:v>Flasche</x:v>
      </x:c>
      <x:c r="E7" s="34"/>
      <x:c r="F7" s="34" t="n">
        <x:v>1.29</x:v>
      </x:c>
      <x:c r="G7" s="28" t="str">
        <x:v>Hummel M</x:v>
      </x:c>
    </x:row>
    <x:row r="8">
      <x:c r="A8" s="28" t="n">
        <x:v>7</x:v>
      </x:c>
      <x:c r="B8" s="28" t="str">
        <x:v>Pfand Mönchshof Radler</x:v>
      </x:c>
      <x:c r="C8" s="28" t="n">
        <x:v>1</x:v>
      </x:c>
      <x:c r="D8" s="28" t="str">
        <x:v>Pfand</x:v>
      </x:c>
      <x:c r="E8" s="34"/>
      <x:c r="F8" s="34" t="n">
        <x:v>0.15</x:v>
      </x:c>
      <x:c r="G8" s="28" t="str">
        <x:v>Hummel M</x:v>
      </x:c>
    </x:row>
    <x:row r="9">
      <x:c r="A9" s="28" t="n">
        <x:v>8</x:v>
      </x:c>
      <x:c r="B9" s="28" t="str">
        <x:v>Freiberger Grapefruit 0,5 l</x:v>
      </x:c>
      <x:c r="C9" s="28" t="n">
        <x:v>1</x:v>
      </x:c>
      <x:c r="D9" s="28" t="str">
        <x:v>Flasche</x:v>
      </x:c>
      <x:c r="E9" s="34"/>
      <x:c r="F9" s="34" t="n">
        <x:v>1.19</x:v>
      </x:c>
      <x:c r="G9" s="28" t="str">
        <x:v>Hummel M</x:v>
      </x:c>
    </x:row>
    <x:row r="10">
      <x:c r="A10" s="28" t="n">
        <x:v>9</x:v>
      </x:c>
      <x:c r="B10" s="28" t="str">
        <x:v>Pfand Freiberger Grapefruit</x:v>
      </x:c>
      <x:c r="C10" s="28" t="n">
        <x:v>1</x:v>
      </x:c>
      <x:c r="D10" s="28" t="str">
        <x:v>Pfand</x:v>
      </x:c>
      <x:c r="E10" s="34"/>
      <x:c r="F10" s="34" t="n">
        <x:v>0.08</x:v>
      </x:c>
      <x:c r="G10" s="28" t="str">
        <x:v>Hummel M</x:v>
      </x:c>
    </x:row>
    <x:row r="11">
      <x:c r="A11" s="28" t="n">
        <x:v>10</x:v>
      </x:c>
      <x:c r="B11" s="28" t="str">
        <x:v>Mönchshof Radler alkoholfrei 0,5 l</x:v>
      </x:c>
      <x:c r="C11" s="28" t="n">
        <x:v>1</x:v>
      </x:c>
      <x:c r="D11" s="28" t="str">
        <x:v>Flasche</x:v>
      </x:c>
      <x:c r="E11" s="34"/>
      <x:c r="F11" s="34" t="n">
        <x:v>1.29</x:v>
      </x:c>
      <x:c r="G11" s="28" t="str">
        <x:v>Hummel M</x:v>
      </x:c>
    </x:row>
    <x:row r="12">
      <x:c r="A12" s="28" t="n">
        <x:v>11</x:v>
      </x:c>
      <x:c r="B12" s="28" t="str">
        <x:v>Pfand Mönchshof Radler alkoholfrei</x:v>
      </x:c>
      <x:c r="C12" s="28" t="n">
        <x:v>1</x:v>
      </x:c>
      <x:c r="D12" s="28" t="str">
        <x:v>Pfand</x:v>
      </x:c>
      <x:c r="E12" s="34"/>
      <x:c r="F12" s="34" t="n">
        <x:v>0.15</x:v>
      </x:c>
      <x:c r="G12" s="28" t="str">
        <x:v>Hummel M</x:v>
      </x:c>
    </x:row>
    <x:row r="13">
      <x:c r="A13" s="28" t="n">
        <x:v>12</x:v>
      </x:c>
      <x:c r="B13" s="28" t="str">
        <x:v>Coke Zero 1,25 l</x:v>
      </x:c>
      <x:c r="C13" s="28" t="n">
        <x:v>1</x:v>
      </x:c>
      <x:c r="D13" s="28" t="str">
        <x:v>Stk.</x:v>
      </x:c>
      <x:c r="E13" s="34"/>
      <x:c r="F13" s="34" t="n">
        <x:v>0.99</x:v>
      </x:c>
      <x:c r="G13" s="28" t="str">
        <x:v>Gemeinschaft</x:v>
      </x:c>
    </x:row>
    <x:row r="14">
      <x:c r="A14" s="28" t="n">
        <x:v>13</x:v>
      </x:c>
      <x:c r="B14" s="28" t="str">
        <x:v>Pfand Coke Zero</x:v>
      </x:c>
      <x:c r="C14" s="28" t="n">
        <x:v>1</x:v>
      </x:c>
      <x:c r="D14" s="28" t="str">
        <x:v>Pfand</x:v>
      </x:c>
      <x:c r="E14" s="34"/>
      <x:c r="F14" s="34" t="n">
        <x:v>0.25</x:v>
      </x:c>
      <x:c r="G14" s="28" t="str">
        <x:v>Gemeinschaft</x:v>
      </x:c>
    </x:row>
    <x:row r="15">
      <x:c r="A15" s="28" t="n">
        <x:v>14</x:v>
      </x:c>
      <x:c r="B15" s="28" t="str">
        <x:v>Lübzer Zitrone alkoholfrei 0,5 l</x:v>
      </x:c>
      <x:c r="C15" s="28" t="n">
        <x:v>1</x:v>
      </x:c>
      <x:c r="D15" s="28" t="str">
        <x:v>Flasche</x:v>
      </x:c>
      <x:c r="E15" s="34"/>
      <x:c r="F15" s="34" t="n">
        <x:v>1.09</x:v>
      </x:c>
      <x:c r="G15" s="28" t="str">
        <x:v>Hummel M</x:v>
      </x:c>
    </x:row>
    <x:row r="16">
      <x:c r="A16" s="28" t="n">
        <x:v>15</x:v>
      </x:c>
      <x:c r="B16" s="28" t="str">
        <x:v>Pfand Lübzer Zitrone alkoholfrei</x:v>
      </x:c>
      <x:c r="C16" s="28" t="n">
        <x:v>1</x:v>
      </x:c>
      <x:c r="D16" s="28" t="str">
        <x:v>Pfand</x:v>
      </x:c>
      <x:c r="E16" s="34"/>
      <x:c r="F16" s="34" t="n">
        <x:v>0.08</x:v>
      </x:c>
      <x:c r="G16" s="28" t="str">
        <x:v>Hummel M</x:v>
      </x:c>
    </x:row>
    <x:row r="17">
      <x:c r="A17" s="28" t="n">
        <x:v>16</x:v>
      </x:c>
      <x:c r="B17" s="28" t="str">
        <x:v>Pueblo Classic</x:v>
      </x:c>
      <x:c r="C17" s="28" t="n">
        <x:v>1</x:v>
      </x:c>
      <x:c r="D17" s="28" t="str">
        <x:v>Packung</x:v>
      </x:c>
      <x:c r="E17" s="34"/>
      <x:c r="F17" s="34" t="n">
        <x:v>6.75</x:v>
      </x:c>
      <x:c r="G17" s="28" t="str">
        <x:v>Hummel M</x:v>
      </x:c>
    </x:row>
    <x:row r="18">
      <x:c r="A18" s="28" t="n">
        <x:v>17</x:v>
      </x:c>
      <x:c r="B18" s="28" t="str">
        <x:v>G&amp;G Champignons</x:v>
      </x:c>
      <x:c r="C18" s="28" t="n">
        <x:v>1</x:v>
      </x:c>
      <x:c r="D18" s="28" t="str">
        <x:v>Packung</x:v>
      </x:c>
      <x:c r="E18" s="34"/>
      <x:c r="F18" s="34" t="n">
        <x:v>2.19</x:v>
      </x:c>
      <x:c r="G18" s="28" t="str">
        <x:v>Gemeinschaft</x:v>
      </x:c>
    </x:row>
    <x:row r="19">
      <x:c r="A19" s="28" t="n">
        <x:v>18</x:v>
      </x:c>
      <x:c r="B19" s="28" t="str">
        <x:v>Bio EDEKA Beerenmischung</x:v>
      </x:c>
      <x:c r="C19" s="28" t="n">
        <x:v>1</x:v>
      </x:c>
      <x:c r="D19" s="28" t="str">
        <x:v>Packung</x:v>
      </x:c>
      <x:c r="E19" s="34"/>
      <x:c r="F19" s="34" t="n">
        <x:v>3.69</x:v>
      </x:c>
      <x:c r="G19" s="28" t="str">
        <x:v>Gemeinschaft</x:v>
      </x:c>
    </x:row>
    <x:row r="20">
      <x:c r="A20" s="28" t="n">
        <x:v>19</x:v>
      </x:c>
      <x:c r="B20" s="28" t="str">
        <x:v>Bio EDEKA Paprika Mix</x:v>
      </x:c>
      <x:c r="C20" s="28" t="n">
        <x:v>2</x:v>
      </x:c>
      <x:c r="D20" s="28" t="str">
        <x:v>Packung</x:v>
      </x:c>
      <x:c r="E20" s="34" t="n">
        <x:v>1.99</x:v>
      </x:c>
      <x:c r="F20" s="34" t="n">
        <x:v>3.98</x:v>
      </x:c>
      <x:c r="G20" s="28" t="str">
        <x:v>Gemeinschaft</x:v>
      </x:c>
    </x:row>
    <x:row r="21">
      <x:c r="A21" s="28" t="n">
        <x:v>20</x:v>
      </x:c>
      <x:c r="B21" s="28" t="str">
        <x:v>JES Schwamm</x:v>
      </x:c>
      <x:c r="C21" s="28" t="n">
        <x:v>1</x:v>
      </x:c>
      <x:c r="D21" s="28" t="str">
        <x:v>Stk.</x:v>
      </x:c>
      <x:c r="E21" s="34"/>
      <x:c r="F21" s="34" t="n">
        <x:v>1</x:v>
      </x:c>
      <x:c r="G21" s="28" t="str">
        <x:v>Gemeinschaft</x:v>
      </x:c>
    </x:row>
    <x:row r="22">
      <x:c r="A22" s="28" t="n">
        <x:v>21</x:v>
      </x:c>
      <x:c r="B22" s="28" t="str">
        <x:v>Haribo Tropifrutti</x:v>
      </x:c>
      <x:c r="C22" s="28" t="n">
        <x:v>1</x:v>
      </x:c>
      <x:c r="D22" s="28" t="str">
        <x:v>Packung</x:v>
      </x:c>
      <x:c r="E22" s="34"/>
      <x:c r="F22" s="34" t="n">
        <x:v>0.79</x:v>
      </x:c>
      <x:c r="G22" s="28" t="str">
        <x:v>Gemeinschaft</x:v>
      </x:c>
    </x:row>
    <x:row r="23">
      <x:c r="A23" s="28" t="n">
        <x:v>22</x:v>
      </x:c>
      <x:c r="B23" s="28" t="str">
        <x:v>Coupon App Haribo</x:v>
      </x:c>
      <x:c r="C23" s="28" t="n">
        <x:v>1</x:v>
      </x:c>
      <x:c r="D23" s="28" t="str">
        <x:v>Coupon</x:v>
      </x:c>
      <x:c r="E23" s="34"/>
      <x:c r="F23" s="34" t="n">
        <x:v>-0.1</x:v>
      </x:c>
      <x:c r="G23" s="28" t="str">
        <x:v>Gemeinschaft</x:v>
      </x:c>
    </x:row>
    <x:row r="24">
      <x:c r="A24" s="28" t="n">
        <x:v>23</x:v>
      </x:c>
      <x:c r="B24" s="28" t="str">
        <x:v>Bio EDEKA Feldsalat</x:v>
      </x:c>
      <x:c r="C24" s="28" t="n">
        <x:v>1</x:v>
      </x:c>
      <x:c r="D24" s="28" t="str">
        <x:v>Packung</x:v>
      </x:c>
      <x:c r="E24" s="34"/>
      <x:c r="F24" s="34" t="n">
        <x:v>1.69</x:v>
      </x:c>
      <x:c r="G24" s="28" t="str">
        <x:v>Gemeinschaft</x:v>
      </x:c>
    </x:row>
    <x:row r="25">
      <x:c r="A25" s="28" t="n">
        <x:v>24</x:v>
      </x:c>
      <x:c r="B25" s="28" t="str">
        <x:v>Bio Alnatura Sauerkirschen</x:v>
      </x:c>
      <x:c r="C25" s="28" t="n">
        <x:v>1</x:v>
      </x:c>
      <x:c r="D25" s="28" t="str">
        <x:v>Glas</x:v>
      </x:c>
      <x:c r="E25" s="34"/>
      <x:c r="F25" s="34" t="n">
        <x:v>4.99</x:v>
      </x:c>
      <x:c r="G25" s="28" t="str">
        <x:v>Gemeinschaft</x:v>
      </x:c>
    </x:row>
    <x:row r="26">
      <x:c r="A26" s="28" t="n">
        <x:v>25</x:v>
      </x:c>
      <x:c r="B26" s="28" t="str">
        <x:v>Liakada Kalamata Oliven</x:v>
      </x:c>
      <x:c r="C26" s="28" t="n">
        <x:v>1</x:v>
      </x:c>
      <x:c r="D26" s="28" t="str">
        <x:v>Packung</x:v>
      </x:c>
      <x:c r="E26" s="34"/>
      <x:c r="F26" s="34" t="n">
        <x:v>3.49</x:v>
      </x:c>
      <x:c r="G26" s="28" t="str">
        <x:v>Gemeinschaft</x:v>
      </x:c>
    </x:row>
    <x:row r="27">
      <x:c r="A27" s="28" t="n">
        <x:v>26</x:v>
      </x:c>
      <x:c r="B27" s="28" t="str">
        <x:v>Bio EDEKA Italienische Kräuter</x:v>
      </x:c>
      <x:c r="C27" s="28" t="n">
        <x:v>1</x:v>
      </x:c>
      <x:c r="D27" s="28" t="str">
        <x:v>Packung</x:v>
      </x:c>
      <x:c r="E27" s="34"/>
      <x:c r="F27" s="34" t="n">
        <x:v>0.89</x:v>
      </x:c>
      <x:c r="G27" s="28" t="str">
        <x:v>Gemeinschaft</x:v>
      </x:c>
    </x:row>
    <x:row r="28">
      <x:c r="A28" s="28" t="n">
        <x:v>27</x:v>
      </x:c>
      <x:c r="B28" s="28" t="str">
        <x:v>Bio EDEKA Crème fraîche</x:v>
      </x:c>
      <x:c r="C28" s="28" t="n">
        <x:v>1</x:v>
      </x:c>
      <x:c r="D28" s="28" t="str">
        <x:v>Becher</x:v>
      </x:c>
      <x:c r="E28" s="34"/>
      <x:c r="F28" s="34" t="n">
        <x:v>1.09</x:v>
      </x:c>
      <x:c r="G28" s="28" t="str">
        <x:v>Gemeinschaft</x:v>
      </x:c>
    </x:row>
    <x:row r="29">
      <x:c r="A29" s="28" t="n">
        <x:v>28</x:v>
      </x:c>
      <x:c r="B29" s="28" t="str">
        <x:v>Frischli Sauerrahm</x:v>
      </x:c>
      <x:c r="C29" s="28" t="n">
        <x:v>1</x:v>
      </x:c>
      <x:c r="D29" s="28" t="str">
        <x:v>Becher</x:v>
      </x:c>
      <x:c r="E29" s="34"/>
      <x:c r="F29" s="34" t="n">
        <x:v>1.09</x:v>
      </x:c>
      <x:c r="G29" s="28" t="str">
        <x:v>Gemeinschaft</x:v>
      </x:c>
    </x:row>
    <x:row r="30">
      <x:c r="A30" s="28" t="n">
        <x:v>29</x:v>
      </x:c>
      <x:c r="B30" s="28" t="str">
        <x:v>G&amp;G Buttercroissants</x:v>
      </x:c>
      <x:c r="C30" s="28" t="n">
        <x:v>6</x:v>
      </x:c>
      <x:c r="D30" s="28" t="str">
        <x:v>Stk.</x:v>
      </x:c>
      <x:c r="E30" s="34" t="n">
        <x:v>0.49</x:v>
      </x:c>
      <x:c r="F30" s="34" t="n">
        <x:v>2.94</x:v>
      </x:c>
      <x:c r="G30" s="28" t="str">
        <x:v>Gemeinschaft</x:v>
      </x:c>
    </x:row>
    <x:row r="31">
      <x:c r="A31" s="28" t="n">
        <x:v>30</x:v>
      </x:c>
      <x:c r="B31" s="28" t="str">
        <x:v>Lauchzwiebeln</x:v>
      </x:c>
      <x:c r="C31" s="28" t="n">
        <x:v>1</x:v>
      </x:c>
      <x:c r="D31" s="28" t="str">
        <x:v>Bund</x:v>
      </x:c>
      <x:c r="E31" s="34"/>
      <x:c r="F31" s="34" t="n">
        <x:v>0.69</x:v>
      </x:c>
      <x:c r="G31" s="28" t="str">
        <x:v>Gemeinschaft</x:v>
      </x:c>
    </x:row>
    <x:row r="32">
      <x:c r="A32" s="28" t="n">
        <x:v>31</x:v>
      </x:c>
      <x:c r="B32" s="28" t="str">
        <x:v>Radieschen</x:v>
      </x:c>
      <x:c r="C32" s="28" t="n">
        <x:v>1</x:v>
      </x:c>
      <x:c r="D32" s="28" t="str">
        <x:v>Bund</x:v>
      </x:c>
      <x:c r="E32" s="34"/>
      <x:c r="F32" s="34" t="n">
        <x:v>0.69</x:v>
      </x:c>
      <x:c r="G32" s="28" t="str">
        <x:v>Gemeinschaft</x:v>
      </x:c>
    </x:row>
    <x:row r="33">
      <x:c r="A33" s="28" t="n">
        <x:v>32</x:v>
      </x:c>
      <x:c r="B33" s="28" t="str">
        <x:v>Leergutentlastung</x:v>
      </x:c>
      <x:c r="C33" s="28" t="n">
        <x:v>1</x:v>
      </x:c>
      <x:c r="D33" s="28" t="str">
        <x:v>Gutschrift</x:v>
      </x:c>
      <x:c r="E33" s="34"/>
      <x:c r="F33" s="34" t="n">
        <x:v>-0.3</x:v>
      </x:c>
      <x:c r="G33" s="28" t="str">
        <x:v>Gemeinschaft</x:v>
      </x:c>
    </x:row>
    <x:row r="34">
      <x:c r="A34" s="28" t="n">
        <x:v>33</x:v>
      </x:c>
      <x:c r="B34" s="28" t="str">
        <x:v>Leergutentlastung</x:v>
      </x:c>
      <x:c r="C34" s="28" t="n">
        <x:v>1</x:v>
      </x:c>
      <x:c r="D34" s="28" t="str">
        <x:v>Gutschrift</x:v>
      </x:c>
      <x:c r="E34" s="34"/>
      <x:c r="F34" s="34" t="n">
        <x:v>-0.57</x:v>
      </x:c>
      <x:c r="G34" s="28" t="str">
        <x:v>Gemeinschaft</x:v>
      </x:c>
    </x:row>
    <x:row r="35">
      <x:c r="A35" s="28" t="n">
        <x:v>34</x:v>
      </x:c>
      <x:c r="B35" s="28" t="str">
        <x:v>Gurken</x:v>
      </x:c>
      <x:c r="C35" s="28" t="n">
        <x:v>1</x:v>
      </x:c>
      <x:c r="D35" s="28" t="str">
        <x:v>Stk.</x:v>
      </x:c>
      <x:c r="E35" s="34"/>
      <x:c r="F35" s="34" t="n">
        <x:v>0.99</x:v>
      </x:c>
      <x:c r="G35" s="28" t="str">
        <x:v>Gemeinschaft</x:v>
      </x:c>
    </x:row>
    <x:row r="36">
      <x:c r="A36" s="28" t="n">
        <x:v>35</x:v>
      </x:c>
      <x:c r="B36" s="28" t="str">
        <x:v>Herzstücke Gorgonzola</x:v>
      </x:c>
      <x:c r="C36" s="28" t="n">
        <x:v>1</x:v>
      </x:c>
      <x:c r="D36" s="28" t="str">
        <x:v>Packung</x:v>
      </x:c>
      <x:c r="E36" s="34"/>
      <x:c r="F36" s="34" t="n">
        <x:v>1.5</x:v>
      </x:c>
      <x:c r="G36" s="28" t="str">
        <x:v>Gemeinschaft</x:v>
      </x:c>
    </x:row>
    <x:row r="37">
      <x:c r="A37" s="28" t="n">
        <x:v>36</x:v>
      </x:c>
      <x:c r="B37" s="28" t="str">
        <x:v>Coupon Herzstücke</x:v>
      </x:c>
      <x:c r="C37" s="28" t="n">
        <x:v>1</x:v>
      </x:c>
      <x:c r="D37" s="28" t="str">
        <x:v>Coupon</x:v>
      </x:c>
      <x:c r="E37" s="34"/>
      <x:c r="F37" s="34" t="n">
        <x:v>-0.15</x:v>
      </x:c>
      <x:c r="G37" s="28" t="str">
        <x:v>Gemeinschaft</x:v>
      </x:c>
    </x:row>
    <x:row r="38">
      <x:c r="A38" s="28" t="n">
        <x:v>37</x:v>
      </x:c>
      <x:c r="B38" s="28" t="str">
        <x:v>Tante Fanny Flammkuchenteig</x:v>
      </x:c>
      <x:c r="C38" s="28" t="n">
        <x:v>2</x:v>
      </x:c>
      <x:c r="D38" s="28" t="str">
        <x:v>Packung</x:v>
      </x:c>
      <x:c r="E38" s="34" t="n">
        <x:v>1.79</x:v>
      </x:c>
      <x:c r="F38" s="34" t="n">
        <x:v>3.58</x:v>
      </x:c>
      <x:c r="G38" s="28" t="str">
        <x:v>Gemeinschaft</x:v>
      </x:c>
    </x:row>
    <x:row r="39">
      <x:c r="A39" s="28" t="n">
        <x:v>38</x:v>
      </x:c>
      <x:c r="B39" s="28" t="str">
        <x:v>Herzstücke Parmigiano</x:v>
      </x:c>
      <x:c r="C39" s="28" t="n">
        <x:v>1</x:v>
      </x:c>
      <x:c r="D39" s="28" t="str">
        <x:v>Packung</x:v>
      </x:c>
      <x:c r="E39" s="34"/>
      <x:c r="F39" s="34" t="n">
        <x:v>3.99</x:v>
      </x:c>
      <x:c r="G39" s="28" t="str">
        <x:v>Gemeinschaft</x:v>
      </x:c>
    </x:row>
    <x:row r="40">
      <x:c r="A40" s="28" t="n">
        <x:v>39</x:v>
      </x:c>
      <x:c r="B40" s="28" t="str">
        <x:v>Coupon Herzstücke</x:v>
      </x:c>
      <x:c r="C40" s="28" t="n">
        <x:v>1</x:v>
      </x:c>
      <x:c r="D40" s="28" t="str">
        <x:v>Coupon</x:v>
      </x:c>
      <x:c r="E40" s="34"/>
      <x:c r="F40" s="34" t="n">
        <x:v>-0.4</x:v>
      </x:c>
      <x:c r="G40" s="28" t="str">
        <x:v>Gemeinschaft</x:v>
      </x:c>
    </x:row>
    <x:row r="41">
      <x:c r="A41" s="28" t="n">
        <x:v>40</x:v>
      </x:c>
      <x:c r="B41" s="28" t="str">
        <x:v>Herzstücke Parmigiano</x:v>
      </x:c>
      <x:c r="C41" s="28" t="n">
        <x:v>1</x:v>
      </x:c>
      <x:c r="D41" s="28" t="str">
        <x:v>Packung</x:v>
      </x:c>
      <x:c r="E41" s="34"/>
      <x:c r="F41" s="34" t="n">
        <x:v>3.99</x:v>
      </x:c>
      <x:c r="G41" s="28" t="str">
        <x:v>Gemeinschaft</x:v>
      </x:c>
    </x:row>
    <x:row r="42">
      <x:c r="A42" s="28" t="n">
        <x:v>41</x:v>
      </x:c>
      <x:c r="B42" s="28" t="str">
        <x:v>Coupon Herzstücke</x:v>
      </x:c>
      <x:c r="C42" s="28" t="n">
        <x:v>1</x:v>
      </x:c>
      <x:c r="D42" s="28" t="str">
        <x:v>Coupon</x:v>
      </x:c>
      <x:c r="E42" s="34"/>
      <x:c r="F42" s="34" t="n">
        <x:v>-0.4</x:v>
      </x:c>
      <x:c r="G42" s="28" t="str">
        <x:v>Gemeinschaft</x:v>
      </x:c>
    </x:row>
    <x:row r="43">
      <x:c r="A43" s="28" t="n">
        <x:v>42</x:v>
      </x:c>
      <x:c r="B43" s="28" t="str">
        <x:v>Herzstücke Basilikum-Topf</x:v>
      </x:c>
      <x:c r="C43" s="28" t="n">
        <x:v>1</x:v>
      </x:c>
      <x:c r="D43" s="28" t="str">
        <x:v>Topf</x:v>
      </x:c>
      <x:c r="E43" s="34"/>
      <x:c r="F43" s="34" t="n">
        <x:v>1.99</x:v>
      </x:c>
      <x:c r="G43" s="28" t="str">
        <x:v>Gemeinschaft</x:v>
      </x:c>
    </x:row>
    <x:row r="44">
      <x:c r="A44" s="28" t="n">
        <x:v>43</x:v>
      </x:c>
      <x:c r="B44" s="28" t="str">
        <x:v>Coupon Herzstücke</x:v>
      </x:c>
      <x:c r="C44" s="28" t="n">
        <x:v>1</x:v>
      </x:c>
      <x:c r="D44" s="28" t="str">
        <x:v>Coupon</x:v>
      </x:c>
      <x:c r="E44" s="34"/>
      <x:c r="F44" s="34" t="n">
        <x:v>-0.2</x:v>
      </x:c>
      <x:c r="G44" s="28" t="str">
        <x:v>Gemeinschaft</x:v>
      </x:c>
    </x:row>
    <x:row r="45">
      <x:c r="A45" s="28" t="n">
        <x:v>44</x:v>
      </x:c>
      <x:c r="B45" s="28" t="str">
        <x:v>Bio EDEKA Frischkäse</x:v>
      </x:c>
      <x:c r="C45" s="28" t="n">
        <x:v>1</x:v>
      </x:c>
      <x:c r="D45" s="28" t="str">
        <x:v>Packung</x:v>
      </x:c>
      <x:c r="E45" s="34"/>
      <x:c r="F45" s="34" t="n">
        <x:v>1.19</x:v>
      </x:c>
      <x:c r="G45" s="28" t="str">
        <x:v>Gemeinschaft</x:v>
      </x:c>
    </x:row>
    <x:row r="46">
      <x:c r="A46" s="28" t="n">
        <x:v>45</x:v>
      </x:c>
      <x:c r="B46" s="28" t="str">
        <x:v>Bio EDEKA Cashewkerne</x:v>
      </x:c>
      <x:c r="C46" s="28" t="n">
        <x:v>1</x:v>
      </x:c>
      <x:c r="D46" s="28" t="str">
        <x:v>Packung</x:v>
      </x:c>
      <x:c r="E46" s="34"/>
      <x:c r="F46" s="34" t="n">
        <x:v>2.29</x:v>
      </x:c>
      <x:c r="G46" s="28" t="str">
        <x:v>Gemeinschaft</x:v>
      </x:c>
    </x:row>
    <x:row r="47">
      <x:c r="A47" s="28" t="n">
        <x:v>46</x:v>
      </x:c>
      <x:c r="B47" s="28" t="str">
        <x:v>Bio G&amp;G Eier 10 Stück</x:v>
      </x:c>
      <x:c r="C47" s="28" t="n">
        <x:v>1</x:v>
      </x:c>
      <x:c r="D47" s="28" t="str">
        <x:v>Packung</x:v>
      </x:c>
      <x:c r="E47" s="34"/>
      <x:c r="F47" s="34" t="n">
        <x:v>3.99</x:v>
      </x:c>
      <x:c r="G47" s="28" t="str">
        <x:v>Gemeinschaft</x:v>
      </x:c>
    </x:row>
    <x:row r="48">
      <x:c r="A48" s="28" t="n">
        <x:v>47</x:v>
      </x:c>
      <x:c r="B48" s="28" t="str">
        <x:v>Bio Rote Beete gekocht</x:v>
      </x:c>
      <x:c r="C48" s="28" t="n">
        <x:v>1</x:v>
      </x:c>
      <x:c r="D48" s="28" t="str">
        <x:v>Packung</x:v>
      </x:c>
      <x:c r="E48" s="34"/>
      <x:c r="F48" s="34" t="n">
        <x:v>2.29</x:v>
      </x:c>
      <x:c r="G48" s="28" t="str">
        <x:v>Gemeinschaft</x:v>
      </x:c>
    </x:row>
    <x:row r="49">
      <x:c r="A49" s="28" t="n">
        <x:v>48</x:v>
      </x:c>
      <x:c r="B49" s="28" t="str">
        <x:v>Bio EDEKA Rucola</x:v>
      </x:c>
      <x:c r="C49" s="28" t="n">
        <x:v>1</x:v>
      </x:c>
      <x:c r="D49" s="28" t="str">
        <x:v>Packung</x:v>
      </x:c>
      <x:c r="E49" s="34"/>
      <x:c r="F49" s="34" t="n">
        <x:v>1.69</x:v>
      </x:c>
      <x:c r="G49" s="28" t="str">
        <x:v>Gemeinschaft</x:v>
      </x:c>
    </x:row>
    <x:row r="50">
      <x:c r="A50" s="28" t="n">
        <x:v>49</x:v>
      </x:c>
      <x:c r="B50" s="28" t="str">
        <x:v>Haribo Tropifrutti</x:v>
      </x:c>
      <x:c r="C50" s="28" t="n">
        <x:v>1</x:v>
      </x:c>
      <x:c r="D50" s="28" t="str">
        <x:v>Packung</x:v>
      </x:c>
      <x:c r="E50" s="34"/>
      <x:c r="F50" s="34" t="n">
        <x:v>0.79</x:v>
      </x:c>
      <x:c r="G50" s="28" t="str">
        <x:v>Gemeinschaft</x:v>
      </x:c>
    </x:row>
    <x:row r="51">
      <x:c r="A51" s="28" t="n">
        <x:v>50</x:v>
      </x:c>
      <x:c r="B51" s="28" t="str">
        <x:v>Coupon App Haribo</x:v>
      </x:c>
      <x:c r="C51" s="28" t="n">
        <x:v>1</x:v>
      </x:c>
      <x:c r="D51" s="28" t="str">
        <x:v>Coupon</x:v>
      </x:c>
      <x:c r="E51" s="34"/>
      <x:c r="F51" s="34" t="n">
        <x:v>-0.1</x:v>
      </x:c>
      <x:c r="G51" s="28" t="str">
        <x:v>Gemeinschaft</x:v>
      </x:c>
    </x:row>
    <x:row r="52">
      <x:c r="A52" s="28" t="n">
        <x:v>51</x:v>
      </x:c>
      <x:c r="B52" s="28" t="str">
        <x:v>Bio Alnatura Milchreis</x:v>
      </x:c>
      <x:c r="C52" s="28" t="n">
        <x:v>1</x:v>
      </x:c>
      <x:c r="D52" s="28" t="str">
        <x:v>Packung</x:v>
      </x:c>
      <x:c r="E52" s="34"/>
      <x:c r="F52" s="34" t="n">
        <x:v>2.29</x:v>
      </x:c>
      <x:c r="G52" s="28" t="str">
        <x:v>Gemeinschaft</x:v>
      </x:c>
    </x:row>
    <x:row r="53">
      <x:c r="A53" s="28" t="n">
        <x:v>52</x:v>
      </x:c>
      <x:c r="B53" s="28" t="str">
        <x:v>Bio EDEKA Gouda</x:v>
      </x:c>
      <x:c r="C53" s="28" t="n">
        <x:v>1</x:v>
      </x:c>
      <x:c r="D53" s="28" t="str">
        <x:v>Packung</x:v>
      </x:c>
      <x:c r="E53" s="34"/>
      <x:c r="F53" s="34" t="n">
        <x:v>2.29</x:v>
      </x:c>
      <x:c r="G53" s="28" t="str">
        <x:v>Gemeinschaft</x:v>
      </x:c>
    </x:row>
    <x:row r="54">
      <x:c r="A54" s="28" t="n">
        <x:v>53</x:v>
      </x:c>
      <x:c r="B54" s="28" t="str">
        <x:v>Birnen Premium</x:v>
      </x:c>
      <x:c r="C54" s="28" t="n">
        <x:v>0.424</x:v>
      </x:c>
      <x:c r="D54" s="28" t="str">
        <x:v>kg</x:v>
      </x:c>
      <x:c r="E54" s="34" t="n">
        <x:v>3.49</x:v>
      </x:c>
      <x:c r="F54" s="34" t="n">
        <x:v>1.48</x:v>
      </x:c>
      <x:c r="G54" s="28" t="str">
        <x:v>Gemeinschaft</x:v>
      </x:c>
    </x:row>
    <x:row r="55">
      <x:c r="A55" s="28" t="n">
        <x:v>54</x:v>
      </x:c>
      <x:c r="B55" s="28" t="str">
        <x:v>Herzstücke Thunfischfilet</x:v>
      </x:c>
      <x:c r="C55" s="28" t="n">
        <x:v>1</x:v>
      </x:c>
      <x:c r="D55" s="28" t="str">
        <x:v>Packung</x:v>
      </x:c>
      <x:c r="E55" s="34"/>
      <x:c r="F55" s="34" t="n">
        <x:v>2.79</x:v>
      </x:c>
      <x:c r="G55" s="28" t="str">
        <x:v>Gemeinschaft</x:v>
      </x:c>
    </x:row>
    <x:row r="56">
      <x:c r="A56" s="28" t="n">
        <x:v>55</x:v>
      </x:c>
      <x:c r="B56" s="28" t="str">
        <x:v>Coupon Herzstücke</x:v>
      </x:c>
      <x:c r="C56" s="28" t="n">
        <x:v>1</x:v>
      </x:c>
      <x:c r="D56" s="28" t="str">
        <x:v>Coupon</x:v>
      </x:c>
      <x:c r="E56" s="34"/>
      <x:c r="F56" s="34" t="n">
        <x:v>-0.28</x:v>
      </x:c>
      <x:c r="G56" s="28" t="str">
        <x:v>Gemeinschaft</x:v>
      </x:c>
    </x:row>
    <x:row r="57">
      <x:c r="A57" s="28" t="n">
        <x:v>56</x:v>
      </x:c>
      <x:c r="B57" s="28" t="str">
        <x:v>Miree Frischkäse</x:v>
      </x:c>
      <x:c r="C57" s="28" t="n">
        <x:v>1</x:v>
      </x:c>
      <x:c r="D57" s="28" t="str">
        <x:v>Packung</x:v>
      </x:c>
      <x:c r="E57" s="34"/>
      <x:c r="F57" s="34" t="n">
        <x:v>1.89</x:v>
      </x:c>
      <x:c r="G57" s="28" t="str">
        <x:v>Gemeinschaft</x:v>
      </x:c>
    </x:row>
    <x:row r="58">
      <x:c r="A58" s="28" t="n">
        <x:v>57</x:v>
      </x:c>
      <x:c r="B58" s="28" t="str">
        <x:v>Herzstücke Mini-Rispentomaten</x:v>
      </x:c>
      <x:c r="C58" s="28" t="n">
        <x:v>1</x:v>
      </x:c>
      <x:c r="D58" s="28" t="str">
        <x:v>Packung</x:v>
      </x:c>
      <x:c r="E58" s="34"/>
      <x:c r="F58" s="34" t="n">
        <x:v>1</x:v>
      </x:c>
      <x:c r="G58" s="28" t="str">
        <x:v>Gemeinschaft</x:v>
      </x:c>
    </x:row>
    <x:row r="59">
      <x:c r="A59" s="28" t="n">
        <x:v>58</x:v>
      </x:c>
      <x:c r="B59" s="28" t="str">
        <x:v>Coupon Herzstücke</x:v>
      </x:c>
      <x:c r="C59" s="28" t="n">
        <x:v>1</x:v>
      </x:c>
      <x:c r="D59" s="28" t="str">
        <x:v>Coupon</x:v>
      </x:c>
      <x:c r="E59" s="34"/>
      <x:c r="F59" s="34" t="n">
        <x:v>-0.1</x:v>
      </x:c>
      <x:c r="G59" s="28" t="str">
        <x:v>Gemeinschaft</x:v>
      </x:c>
    </x:row>
  </x:sheetData>
  <x:pageMargins left="0.7" right="0.7" top="0.75" bottom="0.75" header="0.3" footer="0.3"/>
  <x:tableParts count="1">
    <x:tablePart xmlns:r="http://schemas.openxmlformats.org/officeDocument/2006/relationships" r:id="R8bae2b78713942db"/>
  </x:tableParts>
</x:worksheet>
</file>